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/>
  <mc:AlternateContent xmlns:mc="http://schemas.openxmlformats.org/markup-compatibility/2006">
    <mc:Choice Requires="x15">
      <x15ac:absPath xmlns:x15ac="http://schemas.microsoft.com/office/spreadsheetml/2010/11/ac" url="C:\Users\USER\Documents\ASESORIA EN PROCESOS ADMINISTRATIVOS\EDS LAS PALMERAS\INVENTARIO TANQUES\COMPRAS VS DESCARGADO\"/>
    </mc:Choice>
  </mc:AlternateContent>
  <xr:revisionPtr revIDLastSave="0" documentId="13_ncr:1_{C66D08E1-F2B0-4274-A93B-C1D5A85155D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V TANQUES" sheetId="2" r:id="rId1"/>
    <sheet name="INV UREA" sheetId="5" r:id="rId2"/>
    <sheet name="ISOTANQUE" sheetId="6" r:id="rId3"/>
    <sheet name="SEG DELTA" sheetId="3" r:id="rId4"/>
    <sheet name="VENTAS X MES" sheetId="8" r:id="rId5"/>
    <sheet name="ESTADISTICAS" sheetId="7" r:id="rId6"/>
  </sheets>
  <calcPr calcId="191029"/>
</workbook>
</file>

<file path=xl/calcChain.xml><?xml version="1.0" encoding="utf-8"?>
<calcChain xmlns="http://schemas.openxmlformats.org/spreadsheetml/2006/main">
  <c r="C35" i="8" l="1"/>
  <c r="I35" i="8" s="1"/>
  <c r="H35" i="8"/>
  <c r="B35" i="8"/>
  <c r="F35" i="8"/>
  <c r="E35" i="8"/>
  <c r="I34" i="8"/>
  <c r="H34" i="8"/>
  <c r="F34" i="8"/>
  <c r="E34" i="8"/>
  <c r="C34" i="8"/>
  <c r="B34" i="8"/>
  <c r="P33" i="7"/>
  <c r="Q32" i="7"/>
  <c r="Q33" i="7" s="1"/>
  <c r="R32" i="7"/>
  <c r="J33" i="7"/>
  <c r="K32" i="7"/>
  <c r="L32" i="7"/>
  <c r="D33" i="7"/>
  <c r="E32" i="7"/>
  <c r="F32" i="7"/>
  <c r="N32" i="2"/>
  <c r="Q31" i="7"/>
  <c r="R31" i="7"/>
  <c r="K31" i="7"/>
  <c r="L31" i="7"/>
  <c r="E31" i="7"/>
  <c r="F31" i="7"/>
  <c r="Q30" i="7"/>
  <c r="R30" i="7"/>
  <c r="K30" i="7"/>
  <c r="L30" i="7"/>
  <c r="E30" i="7"/>
  <c r="F30" i="7"/>
  <c r="Q29" i="7"/>
  <c r="R29" i="7"/>
  <c r="K29" i="7"/>
  <c r="L29" i="7"/>
  <c r="E29" i="7"/>
  <c r="F29" i="7"/>
  <c r="Q28" i="7"/>
  <c r="R28" i="7"/>
  <c r="K28" i="7"/>
  <c r="L28" i="7"/>
  <c r="E28" i="7"/>
  <c r="F28" i="7"/>
  <c r="Q27" i="7"/>
  <c r="R27" i="7"/>
  <c r="K27" i="7"/>
  <c r="L27" i="7"/>
  <c r="E27" i="7"/>
  <c r="F27" i="7"/>
  <c r="Q26" i="7"/>
  <c r="R26" i="7"/>
  <c r="K26" i="7"/>
  <c r="L26" i="7"/>
  <c r="E26" i="7"/>
  <c r="F26" i="7"/>
  <c r="Q25" i="7"/>
  <c r="R25" i="7"/>
  <c r="K25" i="7"/>
  <c r="L25" i="7"/>
  <c r="E25" i="7"/>
  <c r="F25" i="7"/>
  <c r="Q24" i="7"/>
  <c r="R24" i="7"/>
  <c r="K24" i="7"/>
  <c r="L24" i="7"/>
  <c r="E24" i="7"/>
  <c r="F24" i="7"/>
  <c r="Q23" i="7"/>
  <c r="R23" i="7"/>
  <c r="K23" i="7"/>
  <c r="L23" i="7"/>
  <c r="E23" i="7"/>
  <c r="F23" i="7"/>
  <c r="Q22" i="7"/>
  <c r="R22" i="7"/>
  <c r="K22" i="7"/>
  <c r="L22" i="7"/>
  <c r="E22" i="7"/>
  <c r="F22" i="7"/>
  <c r="Q21" i="7"/>
  <c r="R21" i="7"/>
  <c r="K21" i="7"/>
  <c r="L21" i="7"/>
  <c r="E21" i="7"/>
  <c r="F21" i="7"/>
  <c r="Q20" i="7"/>
  <c r="R20" i="7"/>
  <c r="K20" i="7"/>
  <c r="L20" i="7"/>
  <c r="E20" i="7"/>
  <c r="F20" i="7"/>
  <c r="Q19" i="7"/>
  <c r="R19" i="7"/>
  <c r="K19" i="7"/>
  <c r="L19" i="7"/>
  <c r="E19" i="7"/>
  <c r="F19" i="7"/>
  <c r="H33" i="7"/>
  <c r="B33" i="7"/>
  <c r="N27" i="2"/>
  <c r="N25" i="2"/>
  <c r="N22" i="2"/>
  <c r="N33" i="7"/>
  <c r="R33" i="7" s="1"/>
  <c r="R18" i="7"/>
  <c r="Q18" i="7"/>
  <c r="L18" i="7"/>
  <c r="K18" i="7"/>
  <c r="F18" i="7"/>
  <c r="E18" i="7"/>
  <c r="R17" i="7"/>
  <c r="Q17" i="7"/>
  <c r="L17" i="7"/>
  <c r="K17" i="7"/>
  <c r="F17" i="7"/>
  <c r="E17" i="7"/>
  <c r="R16" i="7"/>
  <c r="Q16" i="7"/>
  <c r="L16" i="7"/>
  <c r="K16" i="7"/>
  <c r="F16" i="7"/>
  <c r="E16" i="7"/>
  <c r="R15" i="7"/>
  <c r="Q15" i="7"/>
  <c r="L15" i="7"/>
  <c r="K15" i="7"/>
  <c r="F15" i="7"/>
  <c r="E15" i="7"/>
  <c r="R14" i="7"/>
  <c r="Q14" i="7"/>
  <c r="L14" i="7"/>
  <c r="K14" i="7"/>
  <c r="F14" i="7"/>
  <c r="E14" i="7"/>
  <c r="R13" i="7"/>
  <c r="Q13" i="7"/>
  <c r="L13" i="7"/>
  <c r="K13" i="7"/>
  <c r="F13" i="7"/>
  <c r="E13" i="7"/>
  <c r="R12" i="7"/>
  <c r="Q12" i="7"/>
  <c r="L12" i="7"/>
  <c r="K12" i="7"/>
  <c r="F12" i="7"/>
  <c r="E12" i="7"/>
  <c r="R11" i="7"/>
  <c r="Q11" i="7"/>
  <c r="L11" i="7"/>
  <c r="K11" i="7"/>
  <c r="F11" i="7"/>
  <c r="E11" i="7"/>
  <c r="R10" i="7"/>
  <c r="Q10" i="7"/>
  <c r="L10" i="7"/>
  <c r="K10" i="7"/>
  <c r="F10" i="7"/>
  <c r="E10" i="7"/>
  <c r="R9" i="7"/>
  <c r="Q9" i="7"/>
  <c r="L9" i="7"/>
  <c r="K9" i="7"/>
  <c r="F9" i="7"/>
  <c r="E9" i="7"/>
  <c r="R8" i="7"/>
  <c r="Q8" i="7"/>
  <c r="L8" i="7"/>
  <c r="K8" i="7"/>
  <c r="F8" i="7"/>
  <c r="E8" i="7"/>
  <c r="R7" i="7"/>
  <c r="Q7" i="7"/>
  <c r="L7" i="7"/>
  <c r="K7" i="7"/>
  <c r="F7" i="7"/>
  <c r="E7" i="7"/>
  <c r="R6" i="7"/>
  <c r="Q6" i="7"/>
  <c r="L6" i="7"/>
  <c r="K6" i="7"/>
  <c r="F6" i="7"/>
  <c r="E6" i="7"/>
  <c r="R5" i="7"/>
  <c r="Q5" i="7"/>
  <c r="L5" i="7"/>
  <c r="K5" i="7"/>
  <c r="K33" i="7" s="1"/>
  <c r="F5" i="7"/>
  <c r="E5" i="7"/>
  <c r="R4" i="7"/>
  <c r="Q4" i="7"/>
  <c r="L4" i="7"/>
  <c r="K4" i="7"/>
  <c r="F4" i="7"/>
  <c r="E4" i="7"/>
  <c r="R3" i="7"/>
  <c r="Q3" i="7"/>
  <c r="L3" i="7"/>
  <c r="K3" i="7"/>
  <c r="F3" i="7"/>
  <c r="E3" i="7"/>
  <c r="N19" i="2"/>
  <c r="G16" i="6"/>
  <c r="F16" i="6"/>
  <c r="L203" i="6"/>
  <c r="B16" i="6"/>
  <c r="G16" i="5"/>
  <c r="F16" i="5"/>
  <c r="B16" i="5"/>
  <c r="N17" i="2"/>
  <c r="L188" i="6"/>
  <c r="G15" i="6"/>
  <c r="F15" i="6"/>
  <c r="B15" i="6"/>
  <c r="J11" i="6"/>
  <c r="J12" i="6"/>
  <c r="J13" i="6"/>
  <c r="J14" i="6"/>
  <c r="I11" i="6"/>
  <c r="I12" i="6"/>
  <c r="I13" i="6"/>
  <c r="I14" i="6"/>
  <c r="I15" i="6"/>
  <c r="J15" i="6" s="1"/>
  <c r="L175" i="6"/>
  <c r="J11" i="5"/>
  <c r="J12" i="5"/>
  <c r="J13" i="5"/>
  <c r="J14" i="5"/>
  <c r="J15" i="5"/>
  <c r="I11" i="5"/>
  <c r="I12" i="5"/>
  <c r="I13" i="5"/>
  <c r="I14" i="5"/>
  <c r="I15" i="5"/>
  <c r="G15" i="5"/>
  <c r="F15" i="5"/>
  <c r="B15" i="5"/>
  <c r="G14" i="5"/>
  <c r="F14" i="5"/>
  <c r="B14" i="5"/>
  <c r="G14" i="6"/>
  <c r="F14" i="6"/>
  <c r="B14" i="6"/>
  <c r="G13" i="6"/>
  <c r="F13" i="6"/>
  <c r="L157" i="6"/>
  <c r="B13" i="6"/>
  <c r="G12" i="6"/>
  <c r="F12" i="6"/>
  <c r="L137" i="6"/>
  <c r="B12" i="6"/>
  <c r="G11" i="6"/>
  <c r="F11" i="6"/>
  <c r="L120" i="6"/>
  <c r="B11" i="6"/>
  <c r="G13" i="5"/>
  <c r="F13" i="5"/>
  <c r="B13" i="5"/>
  <c r="G12" i="5"/>
  <c r="F12" i="5"/>
  <c r="B12" i="5"/>
  <c r="G11" i="5"/>
  <c r="F11" i="5"/>
  <c r="B11" i="5"/>
  <c r="N11" i="2"/>
  <c r="N13" i="2"/>
  <c r="N12" i="2"/>
  <c r="I10" i="6"/>
  <c r="J10" i="6" s="1"/>
  <c r="G10" i="6"/>
  <c r="F10" i="6"/>
  <c r="L104" i="6"/>
  <c r="B10" i="6"/>
  <c r="I10" i="5"/>
  <c r="J10" i="5"/>
  <c r="G10" i="5"/>
  <c r="F10" i="5"/>
  <c r="B10" i="5"/>
  <c r="I9" i="6"/>
  <c r="J9" i="6" s="1"/>
  <c r="G9" i="6"/>
  <c r="F9" i="6"/>
  <c r="L90" i="6"/>
  <c r="B9" i="6"/>
  <c r="I9" i="5"/>
  <c r="J9" i="5" s="1"/>
  <c r="G9" i="5"/>
  <c r="F9" i="5"/>
  <c r="B9" i="5"/>
  <c r="F8" i="6"/>
  <c r="L74" i="6"/>
  <c r="L63" i="6"/>
  <c r="I8" i="5"/>
  <c r="J8" i="5" s="1"/>
  <c r="G8" i="5"/>
  <c r="F8" i="5"/>
  <c r="B8" i="5"/>
  <c r="R8" i="2"/>
  <c r="M9" i="2" s="1"/>
  <c r="F7" i="6"/>
  <c r="G6" i="6"/>
  <c r="B7" i="6" s="1"/>
  <c r="F6" i="6"/>
  <c r="B6" i="6"/>
  <c r="J7" i="5"/>
  <c r="I7" i="5"/>
  <c r="G7" i="5"/>
  <c r="F7" i="5"/>
  <c r="B7" i="5"/>
  <c r="J6" i="5"/>
  <c r="I6" i="5"/>
  <c r="G6" i="5"/>
  <c r="F6" i="5"/>
  <c r="B6" i="5"/>
  <c r="K32" i="3"/>
  <c r="K31" i="3"/>
  <c r="K30" i="3"/>
  <c r="R7" i="2"/>
  <c r="U7" i="2" s="1"/>
  <c r="V7" i="2" s="1"/>
  <c r="Q7" i="2"/>
  <c r="Q8" i="2" s="1"/>
  <c r="Q9" i="2" s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M7" i="2"/>
  <c r="J5" i="6"/>
  <c r="I5" i="6"/>
  <c r="G5" i="6"/>
  <c r="F5" i="6"/>
  <c r="B5" i="6"/>
  <c r="J5" i="5"/>
  <c r="I5" i="5"/>
  <c r="G5" i="5"/>
  <c r="F5" i="5"/>
  <c r="F4" i="5"/>
  <c r="B5" i="5"/>
  <c r="V6" i="2"/>
  <c r="U6" i="2"/>
  <c r="R6" i="2"/>
  <c r="G5" i="2"/>
  <c r="B6" i="2" s="1"/>
  <c r="Q6" i="2"/>
  <c r="Q5" i="2"/>
  <c r="F5" i="2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M6" i="2"/>
  <c r="F4" i="6"/>
  <c r="G3" i="6"/>
  <c r="B4" i="6" s="1"/>
  <c r="F3" i="6"/>
  <c r="O27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G140" i="3"/>
  <c r="G139" i="3"/>
  <c r="C139" i="3"/>
  <c r="G137" i="3"/>
  <c r="C137" i="3"/>
  <c r="G138" i="3"/>
  <c r="C138" i="3"/>
  <c r="G4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K4" i="2"/>
  <c r="G3" i="3"/>
  <c r="R4" i="2"/>
  <c r="M5" i="2" s="1"/>
  <c r="G3" i="5"/>
  <c r="B4" i="5" s="1"/>
  <c r="F3" i="5"/>
  <c r="G181" i="2"/>
  <c r="J181" i="2" s="1"/>
  <c r="K181" i="2" s="1"/>
  <c r="G182" i="2"/>
  <c r="G183" i="2"/>
  <c r="J183" i="2" s="1"/>
  <c r="G184" i="2"/>
  <c r="J184" i="2" s="1"/>
  <c r="K184" i="2" s="1"/>
  <c r="G185" i="2"/>
  <c r="J185" i="2" s="1"/>
  <c r="K185" i="2" s="1"/>
  <c r="G186" i="2"/>
  <c r="G187" i="2"/>
  <c r="J187" i="2" s="1"/>
  <c r="K187" i="2" s="1"/>
  <c r="G188" i="2"/>
  <c r="G189" i="2"/>
  <c r="J189" i="2" s="1"/>
  <c r="K189" i="2" s="1"/>
  <c r="G190" i="2"/>
  <c r="G191" i="2"/>
  <c r="J191" i="2" s="1"/>
  <c r="K191" i="2" s="1"/>
  <c r="G192" i="2"/>
  <c r="J192" i="2" s="1"/>
  <c r="K192" i="2" s="1"/>
  <c r="G193" i="2"/>
  <c r="J193" i="2" s="1"/>
  <c r="K193" i="2" s="1"/>
  <c r="G194" i="2"/>
  <c r="G195" i="2"/>
  <c r="J195" i="2" s="1"/>
  <c r="K195" i="2" s="1"/>
  <c r="G196" i="2"/>
  <c r="J182" i="2"/>
  <c r="K182" i="2" s="1"/>
  <c r="J186" i="2"/>
  <c r="K186" i="2" s="1"/>
  <c r="J188" i="2"/>
  <c r="K188" i="2" s="1"/>
  <c r="J190" i="2"/>
  <c r="K190" i="2" s="1"/>
  <c r="J194" i="2"/>
  <c r="K194" i="2" s="1"/>
  <c r="J196" i="2"/>
  <c r="K196" i="2" s="1"/>
  <c r="K183" i="2"/>
  <c r="R181" i="2"/>
  <c r="R182" i="2"/>
  <c r="U182" i="2" s="1"/>
  <c r="R183" i="2"/>
  <c r="U183" i="2" s="1"/>
  <c r="V183" i="2" s="1"/>
  <c r="R184" i="2"/>
  <c r="U184" i="2" s="1"/>
  <c r="V184" i="2" s="1"/>
  <c r="R185" i="2"/>
  <c r="U185" i="2" s="1"/>
  <c r="V185" i="2" s="1"/>
  <c r="R186" i="2"/>
  <c r="U186" i="2" s="1"/>
  <c r="R187" i="2"/>
  <c r="R188" i="2"/>
  <c r="U188" i="2" s="1"/>
  <c r="V188" i="2" s="1"/>
  <c r="R189" i="2"/>
  <c r="R190" i="2"/>
  <c r="U190" i="2" s="1"/>
  <c r="R191" i="2"/>
  <c r="U191" i="2" s="1"/>
  <c r="V191" i="2" s="1"/>
  <c r="R192" i="2"/>
  <c r="U192" i="2" s="1"/>
  <c r="V192" i="2" s="1"/>
  <c r="R193" i="2"/>
  <c r="U193" i="2" s="1"/>
  <c r="V193" i="2" s="1"/>
  <c r="R194" i="2"/>
  <c r="U194" i="2" s="1"/>
  <c r="R195" i="2"/>
  <c r="R196" i="2"/>
  <c r="U196" i="2" s="1"/>
  <c r="V196" i="2" s="1"/>
  <c r="U181" i="2"/>
  <c r="V181" i="2" s="1"/>
  <c r="U187" i="2"/>
  <c r="V187" i="2" s="1"/>
  <c r="U189" i="2"/>
  <c r="V189" i="2" s="1"/>
  <c r="U195" i="2"/>
  <c r="V195" i="2" s="1"/>
  <c r="V182" i="2"/>
  <c r="V186" i="2"/>
  <c r="V190" i="2"/>
  <c r="V194" i="2"/>
  <c r="AC34" i="2"/>
  <c r="AC33" i="2"/>
  <c r="AB33" i="2" s="1"/>
  <c r="X34" i="2"/>
  <c r="AB34" i="2" s="1"/>
  <c r="AC32" i="2"/>
  <c r="AB32" i="2" s="1"/>
  <c r="AC31" i="2"/>
  <c r="X32" i="2" s="1"/>
  <c r="AC30" i="2"/>
  <c r="AC29" i="2"/>
  <c r="AC28" i="2"/>
  <c r="X29" i="2" s="1"/>
  <c r="AC27" i="2"/>
  <c r="AC26" i="2"/>
  <c r="AC25" i="2"/>
  <c r="X26" i="2" s="1"/>
  <c r="AC24" i="2"/>
  <c r="X25" i="2"/>
  <c r="AC23" i="2"/>
  <c r="AC22" i="2"/>
  <c r="X23" i="2"/>
  <c r="AC21" i="2"/>
  <c r="X22" i="2" s="1"/>
  <c r="AB22" i="2" s="1"/>
  <c r="AC20" i="2"/>
  <c r="X21" i="2"/>
  <c r="AC19" i="2"/>
  <c r="AB19" i="2" s="1"/>
  <c r="X20" i="2"/>
  <c r="AB20" i="2" s="1"/>
  <c r="AC18" i="2"/>
  <c r="X19" i="2" s="1"/>
  <c r="AC17" i="2"/>
  <c r="AC16" i="2"/>
  <c r="X17" i="2" s="1"/>
  <c r="AC15" i="2"/>
  <c r="AC14" i="2"/>
  <c r="AC13" i="2"/>
  <c r="X14" i="2" s="1"/>
  <c r="AB14" i="2" s="1"/>
  <c r="AC12" i="2"/>
  <c r="X13" i="2"/>
  <c r="AC11" i="2"/>
  <c r="X12" i="2" s="1"/>
  <c r="AC10" i="2"/>
  <c r="AC9" i="2"/>
  <c r="AC8" i="2"/>
  <c r="X9" i="2" s="1"/>
  <c r="AC7" i="2"/>
  <c r="X8" i="2" s="1"/>
  <c r="AC6" i="2"/>
  <c r="AC5" i="2"/>
  <c r="AC4" i="2"/>
  <c r="X5" i="2" s="1"/>
  <c r="G4" i="2"/>
  <c r="B5" i="2" s="1"/>
  <c r="F4" i="2"/>
  <c r="Q4" i="2"/>
  <c r="Q197" i="2"/>
  <c r="AA4" i="2"/>
  <c r="AA5" i="2" s="1"/>
  <c r="AA6" i="2" s="1"/>
  <c r="AA7" i="2" s="1"/>
  <c r="AA8" i="2" s="1"/>
  <c r="AA9" i="2" s="1"/>
  <c r="AA10" i="2" s="1"/>
  <c r="AA11" i="2" s="1"/>
  <c r="AA12" i="2" s="1"/>
  <c r="AA13" i="2"/>
  <c r="AA14" i="2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B12" i="2"/>
  <c r="X15" i="2"/>
  <c r="AB15" i="2"/>
  <c r="X28" i="2"/>
  <c r="X16" i="2"/>
  <c r="X7" i="2"/>
  <c r="X27" i="2"/>
  <c r="AB27" i="2" s="1"/>
  <c r="X33" i="2"/>
  <c r="X11" i="2"/>
  <c r="U8" i="2" l="1"/>
  <c r="V8" i="2" s="1"/>
  <c r="R9" i="2"/>
  <c r="M8" i="2"/>
  <c r="E33" i="7"/>
  <c r="G6" i="2"/>
  <c r="J6" i="2" s="1"/>
  <c r="K6" i="2" s="1"/>
  <c r="L33" i="7"/>
  <c r="F33" i="7"/>
  <c r="I6" i="6"/>
  <c r="J6" i="6" s="1"/>
  <c r="G7" i="6"/>
  <c r="I7" i="6" s="1"/>
  <c r="J7" i="6" s="1"/>
  <c r="G8" i="6"/>
  <c r="I8" i="6" s="1"/>
  <c r="J8" i="6" s="1"/>
  <c r="I3" i="6"/>
  <c r="J3" i="6" s="1"/>
  <c r="G4" i="6"/>
  <c r="I4" i="6" s="1"/>
  <c r="J4" i="6" s="1"/>
  <c r="I3" i="5"/>
  <c r="J3" i="5" s="1"/>
  <c r="G4" i="5"/>
  <c r="R5" i="2"/>
  <c r="U5" i="2" s="1"/>
  <c r="V4" i="2"/>
  <c r="AB26" i="2"/>
  <c r="AB11" i="2"/>
  <c r="AB25" i="2"/>
  <c r="AB16" i="2"/>
  <c r="AB4" i="2"/>
  <c r="AD4" i="2" s="1"/>
  <c r="AB13" i="2"/>
  <c r="AB7" i="2"/>
  <c r="AB28" i="2"/>
  <c r="AB8" i="2"/>
  <c r="F197" i="2"/>
  <c r="X18" i="2"/>
  <c r="AB18" i="2" s="1"/>
  <c r="AB17" i="2"/>
  <c r="J4" i="2"/>
  <c r="X10" i="2"/>
  <c r="AB10" i="2" s="1"/>
  <c r="AB9" i="2"/>
  <c r="X31" i="2"/>
  <c r="AB31" i="2" s="1"/>
  <c r="X24" i="2"/>
  <c r="AB24" i="2" s="1"/>
  <c r="AB23" i="2"/>
  <c r="AB21" i="2"/>
  <c r="AE4" i="2"/>
  <c r="AB5" i="2"/>
  <c r="AD5" i="2" s="1"/>
  <c r="X6" i="2"/>
  <c r="AB6" i="2" s="1"/>
  <c r="X30" i="2"/>
  <c r="AB30" i="2" s="1"/>
  <c r="AB29" i="2"/>
  <c r="M10" i="2" l="1"/>
  <c r="U9" i="2"/>
  <c r="V9" i="2" s="1"/>
  <c r="R10" i="2"/>
  <c r="G7" i="2"/>
  <c r="B7" i="2"/>
  <c r="B8" i="6"/>
  <c r="I4" i="5"/>
  <c r="J4" i="5" s="1"/>
  <c r="J5" i="2"/>
  <c r="K5" i="2" s="1"/>
  <c r="V5" i="2"/>
  <c r="AD6" i="2"/>
  <c r="AE5" i="2"/>
  <c r="U10" i="2" l="1"/>
  <c r="V10" i="2" s="1"/>
  <c r="M11" i="2"/>
  <c r="R11" i="2"/>
  <c r="B8" i="2"/>
  <c r="J7" i="2"/>
  <c r="K7" i="2" s="1"/>
  <c r="G8" i="2"/>
  <c r="AD7" i="2"/>
  <c r="AE6" i="2"/>
  <c r="M12" i="2" l="1"/>
  <c r="R12" i="2"/>
  <c r="U11" i="2"/>
  <c r="V11" i="2" s="1"/>
  <c r="J8" i="2"/>
  <c r="K8" i="2" s="1"/>
  <c r="B9" i="2"/>
  <c r="G9" i="2"/>
  <c r="AD8" i="2"/>
  <c r="AE7" i="2"/>
  <c r="R13" i="2" l="1"/>
  <c r="U12" i="2"/>
  <c r="V12" i="2" s="1"/>
  <c r="M13" i="2"/>
  <c r="B10" i="2"/>
  <c r="J9" i="2"/>
  <c r="K9" i="2" s="1"/>
  <c r="G10" i="2"/>
  <c r="AE8" i="2"/>
  <c r="AD9" i="2"/>
  <c r="U13" i="2" l="1"/>
  <c r="V13" i="2" s="1"/>
  <c r="R14" i="2"/>
  <c r="M14" i="2"/>
  <c r="B11" i="2"/>
  <c r="J10" i="2"/>
  <c r="K10" i="2" s="1"/>
  <c r="G11" i="2"/>
  <c r="AE9" i="2"/>
  <c r="AD10" i="2"/>
  <c r="R15" i="2" l="1"/>
  <c r="U14" i="2"/>
  <c r="V14" i="2" s="1"/>
  <c r="M15" i="2"/>
  <c r="G12" i="2"/>
  <c r="B12" i="2"/>
  <c r="J11" i="2"/>
  <c r="K11" i="2" s="1"/>
  <c r="AD11" i="2"/>
  <c r="AE10" i="2"/>
  <c r="U15" i="2" l="1"/>
  <c r="V15" i="2" s="1"/>
  <c r="M16" i="2"/>
  <c r="R16" i="2"/>
  <c r="B13" i="2"/>
  <c r="G13" i="2"/>
  <c r="J12" i="2"/>
  <c r="K12" i="2" s="1"/>
  <c r="AD12" i="2"/>
  <c r="AE11" i="2"/>
  <c r="M17" i="2" l="1"/>
  <c r="R17" i="2"/>
  <c r="U16" i="2"/>
  <c r="V16" i="2" s="1"/>
  <c r="B14" i="2"/>
  <c r="J13" i="2"/>
  <c r="K13" i="2" s="1"/>
  <c r="G14" i="2"/>
  <c r="AD13" i="2"/>
  <c r="AE12" i="2"/>
  <c r="R18" i="2" l="1"/>
  <c r="U17" i="2"/>
  <c r="V17" i="2" s="1"/>
  <c r="M18" i="2"/>
  <c r="G15" i="2"/>
  <c r="J14" i="2"/>
  <c r="K14" i="2" s="1"/>
  <c r="B15" i="2"/>
  <c r="AD14" i="2"/>
  <c r="AE13" i="2"/>
  <c r="R19" i="2" l="1"/>
  <c r="M19" i="2"/>
  <c r="U18" i="2"/>
  <c r="V18" i="2" s="1"/>
  <c r="G16" i="2"/>
  <c r="J15" i="2"/>
  <c r="K15" i="2" s="1"/>
  <c r="B16" i="2"/>
  <c r="AE14" i="2"/>
  <c r="AD15" i="2"/>
  <c r="U19" i="2" l="1"/>
  <c r="V19" i="2" s="1"/>
  <c r="R20" i="2"/>
  <c r="M20" i="2"/>
  <c r="B17" i="2"/>
  <c r="J16" i="2"/>
  <c r="K16" i="2" s="1"/>
  <c r="G17" i="2"/>
  <c r="AD16" i="2"/>
  <c r="AE15" i="2"/>
  <c r="M21" i="2" l="1"/>
  <c r="R21" i="2"/>
  <c r="U20" i="2"/>
  <c r="V20" i="2" s="1"/>
  <c r="J17" i="2"/>
  <c r="K17" i="2" s="1"/>
  <c r="B18" i="2"/>
  <c r="G18" i="2"/>
  <c r="AE16" i="2"/>
  <c r="AD17" i="2"/>
  <c r="R22" i="2" l="1"/>
  <c r="U21" i="2"/>
  <c r="V21" i="2" s="1"/>
  <c r="M22" i="2"/>
  <c r="B19" i="2"/>
  <c r="G19" i="2"/>
  <c r="J18" i="2"/>
  <c r="K18" i="2" s="1"/>
  <c r="AD18" i="2"/>
  <c r="AE17" i="2"/>
  <c r="R23" i="2" l="1"/>
  <c r="U22" i="2"/>
  <c r="V22" i="2" s="1"/>
  <c r="M23" i="2"/>
  <c r="G20" i="2"/>
  <c r="J19" i="2"/>
  <c r="K19" i="2" s="1"/>
  <c r="B20" i="2"/>
  <c r="AE18" i="2"/>
  <c r="AD19" i="2"/>
  <c r="U23" i="2" l="1"/>
  <c r="V23" i="2" s="1"/>
  <c r="M24" i="2"/>
  <c r="R24" i="2"/>
  <c r="J20" i="2"/>
  <c r="K20" i="2" s="1"/>
  <c r="B21" i="2"/>
  <c r="G21" i="2"/>
  <c r="AE19" i="2"/>
  <c r="AD20" i="2"/>
  <c r="U24" i="2" l="1"/>
  <c r="V24" i="2" s="1"/>
  <c r="M25" i="2"/>
  <c r="R25" i="2"/>
  <c r="G22" i="2"/>
  <c r="B22" i="2"/>
  <c r="J21" i="2"/>
  <c r="K21" i="2" s="1"/>
  <c r="AD21" i="2"/>
  <c r="AE20" i="2"/>
  <c r="U25" i="2" l="1"/>
  <c r="V25" i="2" s="1"/>
  <c r="M26" i="2"/>
  <c r="R26" i="2"/>
  <c r="J22" i="2"/>
  <c r="K22" i="2" s="1"/>
  <c r="G23" i="2"/>
  <c r="B23" i="2"/>
  <c r="AE21" i="2"/>
  <c r="AD22" i="2"/>
  <c r="U26" i="2" l="1"/>
  <c r="V26" i="2" s="1"/>
  <c r="M27" i="2"/>
  <c r="R27" i="2"/>
  <c r="B24" i="2"/>
  <c r="J23" i="2"/>
  <c r="K23" i="2" s="1"/>
  <c r="G24" i="2"/>
  <c r="AE22" i="2"/>
  <c r="AD23" i="2"/>
  <c r="U27" i="2" l="1"/>
  <c r="V27" i="2" s="1"/>
  <c r="R28" i="2"/>
  <c r="M28" i="2"/>
  <c r="B25" i="2"/>
  <c r="J24" i="2"/>
  <c r="K24" i="2" s="1"/>
  <c r="G25" i="2"/>
  <c r="AE23" i="2"/>
  <c r="AD24" i="2"/>
  <c r="U28" i="2" l="1"/>
  <c r="V28" i="2" s="1"/>
  <c r="R29" i="2"/>
  <c r="M29" i="2"/>
  <c r="B26" i="2"/>
  <c r="G26" i="2"/>
  <c r="J25" i="2"/>
  <c r="K25" i="2" s="1"/>
  <c r="AE24" i="2"/>
  <c r="AD25" i="2"/>
  <c r="U29" i="2" l="1"/>
  <c r="V29" i="2" s="1"/>
  <c r="M30" i="2"/>
  <c r="R30" i="2"/>
  <c r="G27" i="2"/>
  <c r="B27" i="2"/>
  <c r="J26" i="2"/>
  <c r="K26" i="2" s="1"/>
  <c r="AE25" i="2"/>
  <c r="AD26" i="2"/>
  <c r="U30" i="2" l="1"/>
  <c r="V30" i="2" s="1"/>
  <c r="M31" i="2"/>
  <c r="R31" i="2"/>
  <c r="G28" i="2"/>
  <c r="B28" i="2"/>
  <c r="J27" i="2"/>
  <c r="K27" i="2" s="1"/>
  <c r="AD27" i="2"/>
  <c r="AE26" i="2"/>
  <c r="U31" i="2" l="1"/>
  <c r="V31" i="2" s="1"/>
  <c r="M32" i="2"/>
  <c r="R32" i="2"/>
  <c r="B29" i="2"/>
  <c r="G29" i="2"/>
  <c r="J28" i="2"/>
  <c r="K28" i="2" s="1"/>
  <c r="AE27" i="2"/>
  <c r="AD28" i="2"/>
  <c r="U32" i="2" l="1"/>
  <c r="V32" i="2" s="1"/>
  <c r="M33" i="2"/>
  <c r="R33" i="2"/>
  <c r="G30" i="2"/>
  <c r="J29" i="2"/>
  <c r="K29" i="2" s="1"/>
  <c r="B30" i="2"/>
  <c r="AE28" i="2"/>
  <c r="AD29" i="2"/>
  <c r="U33" i="2" l="1"/>
  <c r="V33" i="2" s="1"/>
  <c r="R34" i="2"/>
  <c r="U34" i="2" s="1"/>
  <c r="V34" i="2" s="1"/>
  <c r="M34" i="2"/>
  <c r="G31" i="2"/>
  <c r="B31" i="2"/>
  <c r="J30" i="2"/>
  <c r="K30" i="2" s="1"/>
  <c r="AD30" i="2"/>
  <c r="AE29" i="2"/>
  <c r="J31" i="2" l="1"/>
  <c r="K31" i="2" s="1"/>
  <c r="B32" i="2"/>
  <c r="G32" i="2"/>
  <c r="AD31" i="2"/>
  <c r="AE30" i="2"/>
  <c r="G33" i="2" l="1"/>
  <c r="J32" i="2"/>
  <c r="K32" i="2" s="1"/>
  <c r="B33" i="2"/>
  <c r="AD32" i="2"/>
  <c r="AE31" i="2"/>
  <c r="J33" i="2" l="1"/>
  <c r="K33" i="2" s="1"/>
  <c r="G34" i="2"/>
  <c r="J34" i="2" s="1"/>
  <c r="K34" i="2" s="1"/>
  <c r="B34" i="2"/>
  <c r="AE32" i="2"/>
  <c r="AD33" i="2"/>
  <c r="AD34" i="2" l="1"/>
  <c r="AE34" i="2" s="1"/>
  <c r="AE33" i="2"/>
  <c r="M197" i="2" l="1"/>
  <c r="R197" i="2" s="1"/>
  <c r="U197" i="2" s="1"/>
  <c r="V197" i="2" s="1"/>
  <c r="B197" i="2" l="1"/>
  <c r="G197" i="2" s="1"/>
  <c r="J197" i="2" s="1"/>
  <c r="K19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N8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SOLO SE DESCARGARON 2.200 LOS OTROS 2.059 SE FUERON PARA OTRA ESTACION
</t>
        </r>
      </text>
    </comment>
  </commentList>
</comments>
</file>

<file path=xl/sharedStrings.xml><?xml version="1.0" encoding="utf-8"?>
<sst xmlns="http://schemas.openxmlformats.org/spreadsheetml/2006/main" count="197" uniqueCount="126">
  <si>
    <t>ACPM</t>
  </si>
  <si>
    <t>CORRIENTE</t>
  </si>
  <si>
    <t>EXTRA</t>
  </si>
  <si>
    <t>DIA</t>
  </si>
  <si>
    <t>INV INICIAL</t>
  </si>
  <si>
    <t>COMPRAS</t>
  </si>
  <si>
    <t># FACTURA</t>
  </si>
  <si>
    <t>VENTAS</t>
  </si>
  <si>
    <t>VTAS ACUMULADAS</t>
  </si>
  <si>
    <t>INV FINAL</t>
  </si>
  <si>
    <t>FALTANTE/SOBRANTE ACUMULADO</t>
  </si>
  <si>
    <t xml:space="preserve">% </t>
  </si>
  <si>
    <t>FALTANTE/SOBRANTE DIA</t>
  </si>
  <si>
    <t>FECHA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</si>
  <si>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</si>
  <si>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</si>
  <si>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</si>
  <si>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</si>
  <si>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</si>
  <si>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</si>
  <si>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</si>
  <si>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</si>
  <si>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</si>
  <si>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</si>
  <si>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</si>
  <si>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</si>
  <si>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</si>
  <si>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</si>
  <si>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Columna15</t>
  </si>
  <si>
    <t>Columna16</t>
  </si>
  <si>
    <t>Columna17</t>
  </si>
  <si>
    <t>Columna18</t>
  </si>
  <si>
    <t>Columna19</t>
  </si>
  <si>
    <t>Columna20</t>
  </si>
  <si>
    <t>Columna21</t>
  </si>
  <si>
    <t>Columna22</t>
  </si>
  <si>
    <t>Columna23</t>
  </si>
  <si>
    <t>Columna24</t>
  </si>
  <si>
    <t>Columna25</t>
  </si>
  <si>
    <t>Columna26</t>
  </si>
  <si>
    <t>Columna27</t>
  </si>
  <si>
    <t>Columna28</t>
  </si>
  <si>
    <t>Columna29</t>
  </si>
  <si>
    <t>LECTURA TANQUE DOMINUS</t>
  </si>
  <si>
    <t>MEDIDA VARA</t>
  </si>
  <si>
    <t>Columna72</t>
  </si>
  <si>
    <t>Columna172</t>
  </si>
  <si>
    <t>UREA</t>
  </si>
  <si>
    <t>MEDIDA TANQUE</t>
  </si>
  <si>
    <t>Dia</t>
  </si>
  <si>
    <t>Orden de venta</t>
  </si>
  <si>
    <t>PPU</t>
  </si>
  <si>
    <t>PF9402549527</t>
  </si>
  <si>
    <t>82302</t>
  </si>
  <si>
    <t>413432</t>
  </si>
  <si>
    <t>TOTAL</t>
  </si>
  <si>
    <t>Acpm</t>
  </si>
  <si>
    <t>Corriente</t>
  </si>
  <si>
    <t>ORDEN DE VENTA</t>
  </si>
  <si>
    <t>FACTURACION</t>
  </si>
  <si>
    <t>Urea</t>
  </si>
  <si>
    <t>TOTALES</t>
  </si>
  <si>
    <t>Factura</t>
  </si>
  <si>
    <t>Zemer</t>
  </si>
  <si>
    <t>Rio Claro Tecno</t>
  </si>
  <si>
    <t>Ayudas Técnicas</t>
  </si>
  <si>
    <t>Calidra</t>
  </si>
  <si>
    <t>Ind. Caldea</t>
  </si>
  <si>
    <t>Microminerales</t>
  </si>
  <si>
    <t>Cal proc de la P</t>
  </si>
  <si>
    <t>Serv log de Ant</t>
  </si>
  <si>
    <t>Movilizad Expr</t>
  </si>
  <si>
    <t>ISOTANQUE</t>
  </si>
  <si>
    <t>ENTRADAS</t>
  </si>
  <si>
    <t>SALIDAS</t>
  </si>
  <si>
    <t>SALIDAS ACUMULADAS</t>
  </si>
  <si>
    <t>Totales</t>
  </si>
  <si>
    <t>urea</t>
  </si>
  <si>
    <t>PF9402549740</t>
  </si>
  <si>
    <t>PF9402549815</t>
  </si>
  <si>
    <t>PD9401491288</t>
  </si>
  <si>
    <t>PF9402549679</t>
  </si>
  <si>
    <t>UB 2882</t>
  </si>
  <si>
    <t>PF9402550083-PD9401491374</t>
  </si>
  <si>
    <t>PD9401491390</t>
  </si>
  <si>
    <t>PD9401491389-PF9402550157</t>
  </si>
  <si>
    <t>PF9402550189</t>
  </si>
  <si>
    <t>PF9402550334</t>
  </si>
  <si>
    <t>PF9402549993-PF9402549997</t>
  </si>
  <si>
    <t>PD9401491434</t>
  </si>
  <si>
    <t>PD9401491436-PF9402550402</t>
  </si>
  <si>
    <t>PF9402550450</t>
  </si>
  <si>
    <t>PF9402550519</t>
  </si>
  <si>
    <t>PF9402550519-PF9402550584</t>
  </si>
  <si>
    <t>PF9402550644</t>
  </si>
  <si>
    <t>PF9402550691</t>
  </si>
  <si>
    <t>PD9401491546</t>
  </si>
  <si>
    <t>PD9401491546-PF9402550753</t>
  </si>
  <si>
    <t>PF9402550870</t>
  </si>
  <si>
    <t>PD9401491566-PF9402550977</t>
  </si>
  <si>
    <t>PF9402550977</t>
  </si>
  <si>
    <t>PF9402551020</t>
  </si>
  <si>
    <t>PF9402551095-PF9402551155</t>
  </si>
  <si>
    <t>PF9402551232</t>
  </si>
  <si>
    <t>PF9402551291</t>
  </si>
  <si>
    <t>PF9402551328</t>
  </si>
  <si>
    <t>MARZO</t>
  </si>
  <si>
    <t>ABRIL</t>
  </si>
  <si>
    <t>DIF GAL</t>
  </si>
  <si>
    <t>% INCRE</t>
  </si>
  <si>
    <t>%INCR</t>
  </si>
  <si>
    <t>LITROS</t>
  </si>
  <si>
    <t>COMPARATIVO DE VENTAS ABRIL 2025 VS ABRIL 2026</t>
  </si>
  <si>
    <t>PD9401491698-PF9402551465</t>
  </si>
  <si>
    <t>PF9402551526</t>
  </si>
  <si>
    <t>PF9402551598</t>
  </si>
  <si>
    <t>PESOS</t>
  </si>
  <si>
    <t>CORRIENTE GL</t>
  </si>
  <si>
    <t>ACPM GL</t>
  </si>
  <si>
    <t>UREA LT</t>
  </si>
  <si>
    <t>EDS LAS PALMERAS Y CIA S.A.S.</t>
  </si>
  <si>
    <t>INFORME MENSUAL DE VENTAS ABRIL 2026</t>
  </si>
  <si>
    <t>SUB TOT PROD</t>
  </si>
  <si>
    <t>TOT CTE/ACPM</t>
  </si>
  <si>
    <t>TOTAL UREA</t>
  </si>
  <si>
    <t>TOTAL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</si>
</sst>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$&quot;\ * #,##0_-;\-&quot;$&quot;\ * #,##0_-;_-&quot;$&quot;\ * &quot;-&quot;_-;_-@_-"/>
    <numFmt numFmtId="164" formatCode="0.0"/>
    <numFmt numFmtId="165" formatCode="_ * #,##0.00_ ;_ * \-#,##0.00_ ;_ * &quot;-&quot;??_ ;_ @_ "/>
    <numFmt numFmtId="166" formatCode="#,##0.000"/>
    <numFmt numFmtId="167" formatCode="#,##0.000_ ;\-#,##0.000\ "/>
    <numFmt numFmtId="168" formatCode="_-&quot;$&quot;\ * #,##0.000_-;\-&quot;$&quot;\ * #,##0.000_-;_-&quot;$&quot;\ * &quot;-&quot;???_-;_-@_-"/>
  </numFmts>
  <fonts count="17">
    <font>
      <sz val="11"/>
      <color indexed="8"/>
      <name val="Calibri"/>
    </font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8"/>
      <name val="Calibri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theme="0"/>
      <name val="Arial"/>
      <family val="2"/>
    </font>
    <font>
      <b/>
      <sz val="10"/>
      <color theme="0"/>
      <name val="Arial"/>
      <family val="2"/>
    </font>
    <font>
      <sz val="8"/>
      <name val="Calibri"/>
      <family val="2"/>
    </font>
    <font>
      <b/>
      <sz val="11"/>
      <color theme="0"/>
      <name val="Calibri"/>
      <family val="2"/>
    </font>
    <font>
      <b/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89999084444715716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 applyFill="0" applyProtection="0"/>
    <xf numFmtId="165" fontId="8" fillId="0" borderId="0" applyFont="0" applyFill="0" applyBorder="0" applyAlignment="0" applyProtection="0"/>
    <xf numFmtId="0" fontId="1" fillId="0" borderId="0"/>
  </cellStyleXfs>
  <cellXfs count="128">
    <xf numFmtId="0" fontId="0" fillId="0" borderId="0" xfId="0" applyFill="1" applyProtection="1"/>
    <xf numFmtId="4" fontId="0" fillId="0" borderId="0" xfId="0" applyNumberFormat="1" applyFill="1" applyProtection="1"/>
    <xf numFmtId="0" fontId="0" fillId="0" borderId="0" xfId="0"/>
    <xf numFmtId="0" fontId="9" fillId="0" borderId="0" xfId="0" applyFont="1"/>
    <xf numFmtId="14" fontId="7" fillId="0" borderId="1" xfId="0" applyNumberFormat="1" applyFont="1" applyBorder="1"/>
    <xf numFmtId="0" fontId="7" fillId="0" borderId="1" xfId="0" applyFont="1" applyBorder="1"/>
    <xf numFmtId="164" fontId="7" fillId="0" borderId="1" xfId="0" applyNumberFormat="1" applyFont="1" applyBorder="1"/>
    <xf numFmtId="2" fontId="7" fillId="0" borderId="1" xfId="0" applyNumberFormat="1" applyFont="1" applyBorder="1"/>
    <xf numFmtId="0" fontId="5" fillId="0" borderId="1" xfId="0" applyFont="1" applyBorder="1"/>
    <xf numFmtId="166" fontId="7" fillId="0" borderId="1" xfId="0" applyNumberFormat="1" applyFont="1" applyBorder="1"/>
    <xf numFmtId="166" fontId="7" fillId="0" borderId="1" xfId="0" applyNumberFormat="1" applyFont="1" applyBorder="1" applyProtection="1">
      <protection locked="0"/>
    </xf>
    <xf numFmtId="166" fontId="7" fillId="0" borderId="1" xfId="0" applyNumberFormat="1" applyFont="1" applyBorder="1" applyAlignment="1">
      <alignment horizontal="right"/>
    </xf>
    <xf numFmtId="166" fontId="9" fillId="2" borderId="1" xfId="0" applyNumberFormat="1" applyFont="1" applyFill="1" applyBorder="1" applyProtection="1"/>
    <xf numFmtId="0" fontId="9" fillId="0" borderId="0" xfId="0" applyFont="1" applyAlignment="1">
      <alignment horizontal="right"/>
    </xf>
    <xf numFmtId="0" fontId="0" fillId="0" borderId="1" xfId="0" applyBorder="1"/>
    <xf numFmtId="14" fontId="7" fillId="0" borderId="2" xfId="0" applyNumberFormat="1" applyFont="1" applyBorder="1" applyAlignment="1">
      <alignment horizontal="right"/>
    </xf>
    <xf numFmtId="14" fontId="7" fillId="0" borderId="2" xfId="0" applyNumberFormat="1" applyFont="1" applyBorder="1"/>
    <xf numFmtId="14" fontId="7" fillId="0" borderId="3" xfId="0" applyNumberFormat="1" applyFont="1" applyBorder="1" applyAlignment="1">
      <alignment horizontal="right"/>
    </xf>
    <xf numFmtId="166" fontId="7" fillId="0" borderId="4" xfId="0" applyNumberFormat="1" applyFont="1" applyBorder="1"/>
    <xf numFmtId="166" fontId="7" fillId="0" borderId="4" xfId="0" applyNumberFormat="1" applyFont="1" applyBorder="1" applyProtection="1">
      <protection locked="0"/>
    </xf>
    <xf numFmtId="166" fontId="7" fillId="0" borderId="4" xfId="0" applyNumberFormat="1" applyFont="1" applyBorder="1" applyAlignment="1">
      <alignment horizontal="right"/>
    </xf>
    <xf numFmtId="164" fontId="7" fillId="0" borderId="4" xfId="0" applyNumberFormat="1" applyFont="1" applyBorder="1"/>
    <xf numFmtId="14" fontId="7" fillId="0" borderId="4" xfId="0" applyNumberFormat="1" applyFont="1" applyBorder="1"/>
    <xf numFmtId="2" fontId="7" fillId="0" borderId="4" xfId="0" applyNumberFormat="1" applyFont="1" applyBorder="1"/>
    <xf numFmtId="0" fontId="5" fillId="0" borderId="4" xfId="0" applyFont="1" applyBorder="1"/>
    <xf numFmtId="0" fontId="7" fillId="0" borderId="4" xfId="0" applyFont="1" applyBorder="1"/>
    <xf numFmtId="0" fontId="9" fillId="0" borderId="5" xfId="0" applyFont="1" applyBorder="1"/>
    <xf numFmtId="166" fontId="7" fillId="0" borderId="6" xfId="0" applyNumberFormat="1" applyFont="1" applyBorder="1"/>
    <xf numFmtId="0" fontId="0" fillId="0" borderId="6" xfId="0" applyBorder="1"/>
    <xf numFmtId="0" fontId="9" fillId="0" borderId="6" xfId="0" applyFont="1" applyBorder="1"/>
    <xf numFmtId="2" fontId="7" fillId="0" borderId="6" xfId="0" applyNumberFormat="1" applyFont="1" applyBorder="1"/>
    <xf numFmtId="166" fontId="9" fillId="0" borderId="1" xfId="1" applyNumberFormat="1" applyFont="1" applyBorder="1" applyAlignment="1"/>
    <xf numFmtId="166" fontId="9" fillId="0" borderId="1" xfId="0" applyNumberFormat="1" applyFont="1" applyBorder="1"/>
    <xf numFmtId="166" fontId="9" fillId="0" borderId="6" xfId="0" applyNumberFormat="1" applyFont="1" applyBorder="1"/>
    <xf numFmtId="14" fontId="9" fillId="0" borderId="1" xfId="0" applyNumberFormat="1" applyFont="1" applyBorder="1"/>
    <xf numFmtId="14" fontId="9" fillId="0" borderId="2" xfId="0" applyNumberFormat="1" applyFont="1" applyBorder="1"/>
    <xf numFmtId="0" fontId="0" fillId="0" borderId="1" xfId="0" applyFill="1" applyBorder="1" applyProtection="1"/>
    <xf numFmtId="0" fontId="12" fillId="5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wrapText="1"/>
    </xf>
    <xf numFmtId="0" fontId="9" fillId="0" borderId="2" xfId="0" applyFont="1" applyBorder="1"/>
    <xf numFmtId="0" fontId="9" fillId="0" borderId="1" xfId="0" applyFont="1" applyBorder="1"/>
    <xf numFmtId="166" fontId="7" fillId="0" borderId="1" xfId="0" applyNumberFormat="1" applyFont="1" applyFill="1" applyBorder="1"/>
    <xf numFmtId="166" fontId="9" fillId="0" borderId="1" xfId="0" applyNumberFormat="1" applyFont="1" applyFill="1" applyBorder="1"/>
    <xf numFmtId="166" fontId="9" fillId="0" borderId="6" xfId="0" applyNumberFormat="1" applyFont="1" applyFill="1" applyBorder="1"/>
    <xf numFmtId="0" fontId="0" fillId="0" borderId="0" xfId="0" applyFill="1"/>
    <xf numFmtId="0" fontId="12" fillId="4" borderId="7" xfId="0" applyFont="1" applyFill="1" applyBorder="1" applyAlignment="1">
      <alignment horizontal="center" vertical="center" wrapText="1"/>
    </xf>
    <xf numFmtId="0" fontId="2" fillId="0" borderId="0" xfId="0" applyFont="1" applyFill="1" applyProtection="1"/>
    <xf numFmtId="42" fontId="0" fillId="0" borderId="0" xfId="0" applyNumberFormat="1" applyFill="1" applyProtection="1"/>
    <xf numFmtId="14" fontId="0" fillId="0" borderId="1" xfId="0" applyNumberFormat="1" applyFill="1" applyBorder="1" applyProtection="1"/>
    <xf numFmtId="4" fontId="0" fillId="0" borderId="1" xfId="0" applyNumberFormat="1" applyFill="1" applyBorder="1" applyProtection="1"/>
    <xf numFmtId="42" fontId="0" fillId="0" borderId="1" xfId="0" applyNumberFormat="1" applyFill="1" applyBorder="1" applyProtection="1"/>
    <xf numFmtId="166" fontId="9" fillId="7" borderId="1" xfId="0" applyNumberFormat="1" applyFont="1" applyFill="1" applyBorder="1" applyProtection="1"/>
    <xf numFmtId="0" fontId="0" fillId="0" borderId="1" xfId="0" applyBorder="1" applyAlignment="1">
      <alignment horizontal="left"/>
    </xf>
    <xf numFmtId="0" fontId="0" fillId="0" borderId="1" xfId="0" applyFill="1" applyBorder="1" applyAlignment="1" applyProtection="1">
      <alignment horizontal="left"/>
    </xf>
    <xf numFmtId="0" fontId="3" fillId="0" borderId="1" xfId="0" applyFont="1" applyFill="1" applyBorder="1" applyAlignment="1" applyProtection="1">
      <alignment horizontal="center"/>
    </xf>
    <xf numFmtId="14" fontId="3" fillId="0" borderId="1" xfId="0" applyNumberFormat="1" applyFont="1" applyFill="1" applyBorder="1" applyProtection="1"/>
    <xf numFmtId="0" fontId="3" fillId="0" borderId="1" xfId="0" applyFont="1" applyFill="1" applyBorder="1" applyProtection="1"/>
    <xf numFmtId="4" fontId="3" fillId="0" borderId="1" xfId="0" applyNumberFormat="1" applyFont="1" applyFill="1" applyBorder="1" applyProtection="1"/>
    <xf numFmtId="42" fontId="3" fillId="0" borderId="1" xfId="0" applyNumberFormat="1" applyFont="1" applyFill="1" applyBorder="1" applyProtection="1"/>
    <xf numFmtId="42" fontId="2" fillId="0" borderId="1" xfId="0" applyNumberFormat="1" applyFont="1" applyFill="1" applyBorder="1" applyProtection="1"/>
    <xf numFmtId="0" fontId="12" fillId="8" borderId="7" xfId="0" applyFont="1" applyFill="1" applyBorder="1" applyAlignment="1">
      <alignment horizontal="center" vertical="center" wrapText="1"/>
    </xf>
    <xf numFmtId="0" fontId="12" fillId="8" borderId="17" xfId="0" applyFont="1" applyFill="1" applyBorder="1" applyAlignment="1" applyProtection="1">
      <alignment horizontal="center" vertical="center" wrapText="1"/>
    </xf>
    <xf numFmtId="0" fontId="12" fillId="8" borderId="0" xfId="0" applyFont="1" applyFill="1" applyAlignment="1" applyProtection="1">
      <alignment horizontal="center" vertical="center" wrapText="1"/>
    </xf>
    <xf numFmtId="166" fontId="2" fillId="0" borderId="0" xfId="0" applyNumberFormat="1" applyFont="1" applyFill="1" applyProtection="1"/>
    <xf numFmtId="166" fontId="0" fillId="0" borderId="0" xfId="0" applyNumberFormat="1" applyFill="1" applyProtection="1"/>
    <xf numFmtId="166" fontId="3" fillId="0" borderId="0" xfId="0" applyNumberFormat="1" applyFont="1" applyFill="1" applyProtection="1"/>
    <xf numFmtId="0" fontId="3" fillId="0" borderId="0" xfId="0" applyFont="1" applyFill="1" applyProtection="1"/>
    <xf numFmtId="3" fontId="0" fillId="0" borderId="0" xfId="0" applyNumberFormat="1" applyFill="1" applyProtection="1"/>
    <xf numFmtId="14" fontId="0" fillId="0" borderId="0" xfId="0" applyNumberFormat="1" applyFill="1" applyProtection="1"/>
    <xf numFmtId="14" fontId="15" fillId="5" borderId="1" xfId="0" applyNumberFormat="1" applyFont="1" applyFill="1" applyBorder="1" applyAlignment="1" applyProtection="1">
      <alignment horizontal="center"/>
    </xf>
    <xf numFmtId="0" fontId="15" fillId="5" borderId="1" xfId="0" applyFont="1" applyFill="1" applyBorder="1" applyAlignment="1" applyProtection="1">
      <alignment horizontal="center"/>
    </xf>
    <xf numFmtId="14" fontId="3" fillId="3" borderId="1" xfId="0" applyNumberFormat="1" applyFont="1" applyFill="1" applyBorder="1" applyAlignment="1" applyProtection="1">
      <alignment horizontal="center"/>
    </xf>
    <xf numFmtId="0" fontId="3" fillId="3" borderId="1" xfId="0" applyFont="1" applyFill="1" applyBorder="1" applyAlignment="1" applyProtection="1">
      <alignment horizontal="center"/>
    </xf>
    <xf numFmtId="14" fontId="15" fillId="9" borderId="1" xfId="0" applyNumberFormat="1" applyFont="1" applyFill="1" applyBorder="1" applyAlignment="1" applyProtection="1">
      <alignment horizontal="center"/>
    </xf>
    <xf numFmtId="0" fontId="15" fillId="9" borderId="1" xfId="0" applyFont="1" applyFill="1" applyBorder="1" applyAlignment="1" applyProtection="1">
      <alignment horizontal="center"/>
    </xf>
    <xf numFmtId="166" fontId="0" fillId="0" borderId="1" xfId="0" applyNumberFormat="1" applyFill="1" applyBorder="1" applyProtection="1"/>
    <xf numFmtId="3" fontId="0" fillId="0" borderId="1" xfId="0" applyNumberFormat="1" applyFill="1" applyBorder="1" applyProtection="1"/>
    <xf numFmtId="9" fontId="0" fillId="0" borderId="1" xfId="0" applyNumberFormat="1" applyFill="1" applyBorder="1" applyProtection="1"/>
    <xf numFmtId="14" fontId="3" fillId="3" borderId="1" xfId="0" applyNumberFormat="1" applyFont="1" applyFill="1" applyBorder="1" applyProtection="1"/>
    <xf numFmtId="166" fontId="3" fillId="3" borderId="1" xfId="0" applyNumberFormat="1" applyFont="1" applyFill="1" applyBorder="1" applyProtection="1"/>
    <xf numFmtId="3" fontId="3" fillId="3" borderId="1" xfId="0" applyNumberFormat="1" applyFont="1" applyFill="1" applyBorder="1" applyProtection="1"/>
    <xf numFmtId="9" fontId="3" fillId="3" borderId="1" xfId="0" applyNumberFormat="1" applyFont="1" applyFill="1" applyBorder="1" applyProtection="1"/>
    <xf numFmtId="14" fontId="15" fillId="5" borderId="1" xfId="0" applyNumberFormat="1" applyFont="1" applyFill="1" applyBorder="1" applyProtection="1"/>
    <xf numFmtId="166" fontId="15" fillId="5" borderId="1" xfId="0" applyNumberFormat="1" applyFont="1" applyFill="1" applyBorder="1" applyProtection="1"/>
    <xf numFmtId="3" fontId="15" fillId="5" borderId="1" xfId="0" applyNumberFormat="1" applyFont="1" applyFill="1" applyBorder="1" applyProtection="1"/>
    <xf numFmtId="9" fontId="15" fillId="5" borderId="1" xfId="0" applyNumberFormat="1" applyFont="1" applyFill="1" applyBorder="1" applyProtection="1"/>
    <xf numFmtId="14" fontId="15" fillId="9" borderId="1" xfId="0" applyNumberFormat="1" applyFont="1" applyFill="1" applyBorder="1" applyProtection="1"/>
    <xf numFmtId="166" fontId="15" fillId="9" borderId="1" xfId="0" applyNumberFormat="1" applyFont="1" applyFill="1" applyBorder="1" applyProtection="1"/>
    <xf numFmtId="3" fontId="15" fillId="9" borderId="1" xfId="0" applyNumberFormat="1" applyFont="1" applyFill="1" applyBorder="1" applyProtection="1"/>
    <xf numFmtId="9" fontId="15" fillId="9" borderId="1" xfId="0" applyNumberFormat="1" applyFont="1" applyFill="1" applyBorder="1" applyProtection="1"/>
    <xf numFmtId="42" fontId="15" fillId="5" borderId="1" xfId="0" applyNumberFormat="1" applyFont="1" applyFill="1" applyBorder="1" applyAlignment="1" applyProtection="1">
      <alignment horizontal="center"/>
    </xf>
    <xf numFmtId="42" fontId="3" fillId="3" borderId="1" xfId="0" applyNumberFormat="1" applyFont="1" applyFill="1" applyBorder="1" applyAlignment="1" applyProtection="1">
      <alignment horizontal="center"/>
    </xf>
    <xf numFmtId="42" fontId="15" fillId="9" borderId="1" xfId="0" applyNumberFormat="1" applyFont="1" applyFill="1" applyBorder="1" applyAlignment="1" applyProtection="1">
      <alignment horizontal="center"/>
    </xf>
    <xf numFmtId="42" fontId="15" fillId="5" borderId="1" xfId="0" applyNumberFormat="1" applyFont="1" applyFill="1" applyBorder="1" applyProtection="1"/>
    <xf numFmtId="42" fontId="3" fillId="3" borderId="1" xfId="0" applyNumberFormat="1" applyFont="1" applyFill="1" applyBorder="1" applyProtection="1"/>
    <xf numFmtId="42" fontId="15" fillId="9" borderId="1" xfId="0" applyNumberFormat="1" applyFont="1" applyFill="1" applyBorder="1" applyProtection="1"/>
    <xf numFmtId="14" fontId="0" fillId="11" borderId="1" xfId="0" applyNumberFormat="1" applyFill="1" applyBorder="1" applyProtection="1"/>
    <xf numFmtId="166" fontId="0" fillId="11" borderId="1" xfId="0" applyNumberFormat="1" applyFill="1" applyBorder="1" applyProtection="1"/>
    <xf numFmtId="42" fontId="0" fillId="11" borderId="1" xfId="0" applyNumberFormat="1" applyFill="1" applyBorder="1" applyProtection="1"/>
    <xf numFmtId="0" fontId="16" fillId="10" borderId="0" xfId="0" applyFont="1" applyFill="1" applyProtection="1"/>
    <xf numFmtId="166" fontId="16" fillId="10" borderId="0" xfId="0" applyNumberFormat="1" applyFont="1" applyFill="1" applyProtection="1"/>
    <xf numFmtId="42" fontId="16" fillId="10" borderId="0" xfId="0" applyNumberFormat="1" applyFont="1" applyFill="1" applyProtection="1"/>
    <xf numFmtId="3" fontId="0" fillId="11" borderId="1" xfId="0" applyNumberFormat="1" applyFill="1" applyBorder="1" applyProtection="1"/>
    <xf numFmtId="9" fontId="0" fillId="11" borderId="1" xfId="0" applyNumberFormat="1" applyFill="1" applyBorder="1" applyProtection="1"/>
    <xf numFmtId="167" fontId="0" fillId="0" borderId="0" xfId="0" applyNumberFormat="1" applyFill="1" applyProtection="1"/>
    <xf numFmtId="168" fontId="0" fillId="0" borderId="0" xfId="0" applyNumberFormat="1" applyFill="1" applyProtection="1"/>
    <xf numFmtId="0" fontId="13" fillId="5" borderId="12" xfId="0" applyFont="1" applyFill="1" applyBorder="1" applyAlignment="1">
      <alignment horizontal="center"/>
    </xf>
    <xf numFmtId="0" fontId="13" fillId="5" borderId="13" xfId="0" applyFont="1" applyFill="1" applyBorder="1" applyAlignment="1">
      <alignment horizontal="center"/>
    </xf>
    <xf numFmtId="0" fontId="13" fillId="5" borderId="14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5" fillId="6" borderId="15" xfId="0" applyFont="1" applyFill="1" applyBorder="1" applyAlignment="1">
      <alignment horizontal="center"/>
    </xf>
    <xf numFmtId="0" fontId="5" fillId="6" borderId="16" xfId="0" applyFont="1" applyFill="1" applyBorder="1" applyAlignment="1">
      <alignment horizontal="center"/>
    </xf>
    <xf numFmtId="0" fontId="13" fillId="4" borderId="12" xfId="0" applyFont="1" applyFill="1" applyBorder="1" applyAlignment="1">
      <alignment horizontal="center"/>
    </xf>
    <xf numFmtId="0" fontId="13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8" borderId="12" xfId="0" applyFont="1" applyFill="1" applyBorder="1" applyAlignment="1">
      <alignment horizontal="center"/>
    </xf>
    <xf numFmtId="0" fontId="13" fillId="8" borderId="13" xfId="0" applyFont="1" applyFill="1" applyBorder="1" applyAlignment="1">
      <alignment horizontal="center"/>
    </xf>
    <xf numFmtId="0" fontId="13" fillId="8" borderId="14" xfId="0" applyFont="1" applyFill="1" applyBorder="1" applyAlignment="1">
      <alignment horizontal="center"/>
    </xf>
    <xf numFmtId="0" fontId="3" fillId="0" borderId="0" xfId="0" applyFont="1" applyFill="1" applyAlignment="1" applyProtection="1">
      <alignment horizontal="center"/>
    </xf>
    <xf numFmtId="0" fontId="3" fillId="0" borderId="18" xfId="0" applyFont="1" applyFill="1" applyBorder="1" applyAlignment="1" applyProtection="1">
      <alignment horizontal="center"/>
    </xf>
    <xf numFmtId="14" fontId="3" fillId="0" borderId="18" xfId="0" applyNumberFormat="1" applyFont="1" applyFill="1" applyBorder="1" applyAlignment="1" applyProtection="1">
      <alignment horizontal="center"/>
    </xf>
  </cellXfs>
  <cellStyles count="3">
    <cellStyle name="Millares 2" xfId="1" xr:uid="{00000000-0005-0000-0000-000000000000}"/>
    <cellStyle name="Normal" xfId="0" builtinId="0"/>
    <cellStyle name="Normal 2" xfId="2" xr:uid="{BB537DCA-C1C6-4DFA-A44C-E55CDC34B3C9}"/>
  </cellStyles>
  <dxfs count="57"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2" formatCode="0.0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6" formatCode="#,##0.00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6" formatCode="#,##0.00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6" formatCode="#,##0.00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6" formatCode="#,##0.00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6" formatCode="#,##0.00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6" formatCode="#,##0.00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6" formatCode="#,##0.00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6" formatCode="#,##0.00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6" formatCode="#,##0.00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6" formatCode="#,##0.00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6" formatCode="#,##0.0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theme="0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3:AE197" totalsRowShown="0" headerRowDxfId="39" dataDxfId="37" headerRowBorderDxfId="38" tableBorderDxfId="36" totalsRowBorderDxfId="35">
  <autoFilter ref="A3:AE197" xr:uid="{00000000-0009-0000-0100-000001000000}"/>
  <tableColumns count="31">
    <tableColumn id="1" xr3:uid="{00000000-0010-0000-0000-000001000000}" name="Columna1" dataDxfId="34"/>
    <tableColumn id="2" xr3:uid="{00000000-0010-0000-0000-000002000000}" name="Columna2" dataDxfId="33"/>
    <tableColumn id="3" xr3:uid="{00000000-0010-0000-0000-000003000000}" name="Columna3" dataDxfId="32"/>
    <tableColumn id="4" xr3:uid="{00000000-0010-0000-0000-000004000000}" name="Columna4" dataDxfId="31"/>
    <tableColumn id="5" xr3:uid="{00000000-0010-0000-0000-000005000000}" name="Columna5" dataDxfId="30"/>
    <tableColumn id="6" xr3:uid="{00000000-0010-0000-0000-000006000000}" name="Columna6" dataDxfId="29"/>
    <tableColumn id="7" xr3:uid="{00000000-0010-0000-0000-000007000000}" name="Columna7" dataDxfId="28">
      <calculatedColumnFormula>+B4+C4-E4</calculatedColumnFormula>
    </tableColumn>
    <tableColumn id="42" xr3:uid="{00000000-0010-0000-0000-00002A000000}" name="Columna72" dataDxfId="27"/>
    <tableColumn id="8" xr3:uid="{00000000-0010-0000-0000-000008000000}" name="Columna8" dataDxfId="26"/>
    <tableColumn id="9" xr3:uid="{00000000-0010-0000-0000-000009000000}" name="Columna9" dataDxfId="25">
      <calculatedColumnFormula>+G4-I4</calculatedColumnFormula>
    </tableColumn>
    <tableColumn id="10" xr3:uid="{00000000-0010-0000-0000-00000A000000}" name="Columna10" dataDxfId="24">
      <calculatedColumnFormula>+J4/F4*100</calculatedColumnFormula>
    </tableColumn>
    <tableColumn id="11" xr3:uid="{00000000-0010-0000-0000-00000B000000}" name="Columna11" dataDxfId="23"/>
    <tableColumn id="12" xr3:uid="{00000000-0010-0000-0000-00000C000000}" name="Columna12" dataDxfId="22"/>
    <tableColumn id="13" xr3:uid="{00000000-0010-0000-0000-00000D000000}" name="Columna13" dataDxfId="21"/>
    <tableColumn id="14" xr3:uid="{00000000-0010-0000-0000-00000E000000}" name="Columna14" dataDxfId="20"/>
    <tableColumn id="15" xr3:uid="{00000000-0010-0000-0000-00000F000000}" name="Columna15" dataDxfId="19"/>
    <tableColumn id="16" xr3:uid="{00000000-0010-0000-0000-000010000000}" name="Columna16" dataDxfId="18"/>
    <tableColumn id="17" xr3:uid="{00000000-0010-0000-0000-000011000000}" name="Columna17" dataDxfId="17">
      <calculatedColumnFormula>+M4+N4-P4</calculatedColumnFormula>
    </tableColumn>
    <tableColumn id="43" xr3:uid="{00000000-0010-0000-0000-00002B000000}" name="Columna172" dataDxfId="16"/>
    <tableColumn id="18" xr3:uid="{00000000-0010-0000-0000-000012000000}" name="Columna18" dataDxfId="15"/>
    <tableColumn id="19" xr3:uid="{00000000-0010-0000-0000-000013000000}" name="Columna19" dataDxfId="14">
      <calculatedColumnFormula>+R4-T4</calculatedColumnFormula>
    </tableColumn>
    <tableColumn id="20" xr3:uid="{00000000-0010-0000-0000-000014000000}" name="Columna20" dataDxfId="13">
      <calculatedColumnFormula>+U4/Q4*100</calculatedColumnFormula>
    </tableColumn>
    <tableColumn id="21" xr3:uid="{00000000-0010-0000-0000-000015000000}" name="Columna21" dataDxfId="12"/>
    <tableColumn id="22" xr3:uid="{00000000-0010-0000-0000-000016000000}" name="Columna22" dataDxfId="11"/>
    <tableColumn id="23" xr3:uid="{00000000-0010-0000-0000-000017000000}" name="Columna23" dataDxfId="10"/>
    <tableColumn id="24" xr3:uid="{00000000-0010-0000-0000-000018000000}" name="Columna24" dataDxfId="9"/>
    <tableColumn id="25" xr3:uid="{00000000-0010-0000-0000-000019000000}" name="Columna25" dataDxfId="8"/>
    <tableColumn id="26" xr3:uid="{00000000-0010-0000-0000-00001A000000}" name="Columna26" dataDxfId="7"/>
    <tableColumn id="27" xr3:uid="{00000000-0010-0000-0000-00001B000000}" name="Columna27" dataDxfId="6"/>
    <tableColumn id="28" xr3:uid="{00000000-0010-0000-0000-00001C000000}" name="Columna28" dataDxfId="5"/>
    <tableColumn id="29" xr3:uid="{00000000-0010-0000-0000-00001D000000}" name="Columna29" dataDxfId="4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499984740745262"/>
  </sheetPr>
  <dimension ref="A1:AE1418"/>
  <sheetViews>
    <sheetView tabSelected="1" zoomScale="90" zoomScaleNormal="90" workbookViewId="0">
      <pane xSplit="9" ySplit="9" topLeftCell="J10" activePane="bottomRight" state="frozen"/>
      <selection pane="topRight" activeCell="I1" sqref="I1"/>
      <selection pane="bottomLeft" activeCell="A10" sqref="A10"/>
      <selection pane="bottomRight" activeCell="E34" sqref="E34"/>
    </sheetView>
  </sheetViews>
  <sheetFormatPr baseColWidth="10" defaultRowHeight="15"/>
  <cols>
    <col min="1" max="1" width="10.42578125" style="13" customWidth="1"/>
    <col min="2" max="3" width="9.85546875" style="2" customWidth="1"/>
    <col min="4" max="4" width="14.7109375" style="3" customWidth="1"/>
    <col min="5" max="5" width="10" style="2" customWidth="1"/>
    <col min="6" max="6" width="12" style="2" bestFit="1" customWidth="1"/>
    <col min="7" max="7" width="9.85546875" style="2" customWidth="1"/>
    <col min="8" max="8" width="12.7109375" style="2" hidden="1" customWidth="1"/>
    <col min="9" max="9" width="12.140625" style="2" customWidth="1"/>
    <col min="10" max="10" width="17.42578125" style="2" customWidth="1"/>
    <col min="11" max="11" width="6.85546875" style="2" customWidth="1"/>
    <col min="12" max="12" width="11.5703125" style="3" customWidth="1"/>
    <col min="13" max="14" width="10.7109375" style="2" customWidth="1"/>
    <col min="15" max="15" width="15.7109375" style="2" customWidth="1"/>
    <col min="16" max="16" width="10.7109375" style="2" customWidth="1"/>
    <col min="17" max="17" width="12" style="2" bestFit="1" customWidth="1"/>
    <col min="18" max="18" width="10.7109375" style="2" customWidth="1"/>
    <col min="19" max="19" width="12.28515625" style="2" hidden="1" customWidth="1"/>
    <col min="20" max="20" width="11.85546875" style="2" customWidth="1"/>
    <col min="21" max="21" width="17.5703125" style="2" customWidth="1"/>
    <col min="22" max="22" width="10.5703125" style="2" customWidth="1"/>
    <col min="23" max="23" width="3.5703125" style="2" hidden="1" customWidth="1"/>
    <col min="24" max="24" width="9.5703125" style="2" hidden="1" customWidth="1"/>
    <col min="25" max="25" width="8.85546875" style="2" hidden="1" customWidth="1"/>
    <col min="26" max="26" width="10.140625" style="2" hidden="1" customWidth="1"/>
    <col min="27" max="27" width="12.28515625" style="2" hidden="1" customWidth="1"/>
    <col min="28" max="28" width="0" style="2" hidden="1" customWidth="1"/>
    <col min="29" max="29" width="8.42578125" style="2" hidden="1" customWidth="1"/>
    <col min="30" max="30" width="0.140625" style="2" hidden="1" customWidth="1"/>
    <col min="31" max="31" width="6.140625" style="2" hidden="1" customWidth="1"/>
    <col min="32" max="16384" width="11.42578125" style="2"/>
  </cols>
  <sheetData>
    <row r="1" spans="1:31" ht="15.75" thickBot="1">
      <c r="A1" s="111" t="s">
        <v>1</v>
      </c>
      <c r="B1" s="112"/>
      <c r="C1" s="112"/>
      <c r="D1" s="112"/>
      <c r="E1" s="112"/>
      <c r="F1" s="112"/>
      <c r="G1" s="112"/>
      <c r="H1" s="112"/>
      <c r="I1" s="112"/>
      <c r="J1" s="112"/>
      <c r="K1" s="113"/>
      <c r="L1" s="114" t="s">
        <v>0</v>
      </c>
      <c r="M1" s="115"/>
      <c r="N1" s="115"/>
      <c r="O1" s="115"/>
      <c r="P1" s="115"/>
      <c r="Q1" s="115"/>
      <c r="R1" s="115"/>
      <c r="S1" s="115"/>
      <c r="T1" s="115"/>
      <c r="U1" s="115"/>
      <c r="V1" s="116"/>
      <c r="W1" s="117" t="s">
        <v>2</v>
      </c>
      <c r="X1" s="118"/>
      <c r="Y1" s="118"/>
      <c r="Z1" s="118"/>
      <c r="AA1" s="118"/>
      <c r="AB1" s="118"/>
      <c r="AC1" s="118"/>
      <c r="AD1" s="118"/>
      <c r="AE1" s="118"/>
    </row>
    <row r="2" spans="1:31" ht="50.25" customHeight="1" thickTop="1">
      <c r="A2" s="37" t="s">
        <v>13</v>
      </c>
      <c r="B2" s="37" t="s">
        <v>4</v>
      </c>
      <c r="C2" s="37" t="s">
        <v>5</v>
      </c>
      <c r="D2" s="37" t="s">
        <v>6</v>
      </c>
      <c r="E2" s="37" t="s">
        <v>7</v>
      </c>
      <c r="F2" s="37" t="s">
        <v>8</v>
      </c>
      <c r="G2" s="37" t="s">
        <v>9</v>
      </c>
      <c r="H2" s="37" t="s">
        <v>44</v>
      </c>
      <c r="I2" s="37" t="s">
        <v>43</v>
      </c>
      <c r="J2" s="37" t="s">
        <v>10</v>
      </c>
      <c r="K2" s="37" t="s">
        <v>11</v>
      </c>
      <c r="L2" s="38" t="s">
        <v>13</v>
      </c>
      <c r="M2" s="39" t="s">
        <v>4</v>
      </c>
      <c r="N2" s="39" t="s">
        <v>5</v>
      </c>
      <c r="O2" s="39" t="s">
        <v>6</v>
      </c>
      <c r="P2" s="39" t="s">
        <v>7</v>
      </c>
      <c r="Q2" s="40" t="s">
        <v>8</v>
      </c>
      <c r="R2" s="39" t="s">
        <v>9</v>
      </c>
      <c r="S2" s="39" t="s">
        <v>44</v>
      </c>
      <c r="T2" s="39" t="s">
        <v>43</v>
      </c>
      <c r="U2" s="41" t="s">
        <v>10</v>
      </c>
      <c r="V2" s="40" t="s">
        <v>11</v>
      </c>
      <c r="W2" s="42" t="s">
        <v>3</v>
      </c>
      <c r="X2" s="42" t="s">
        <v>4</v>
      </c>
      <c r="Y2" s="42" t="s">
        <v>5</v>
      </c>
      <c r="Z2" s="42" t="s">
        <v>7</v>
      </c>
      <c r="AA2" s="42" t="s">
        <v>8</v>
      </c>
      <c r="AB2" s="42" t="s">
        <v>12</v>
      </c>
      <c r="AC2" s="42" t="s">
        <v>9</v>
      </c>
      <c r="AD2" s="42" t="s">
        <v>10</v>
      </c>
      <c r="AE2" s="42" t="s">
        <v>11</v>
      </c>
    </row>
    <row r="3" spans="1:31">
      <c r="A3" s="17" t="s">
        <v>14</v>
      </c>
      <c r="B3" s="18" t="s">
        <v>15</v>
      </c>
      <c r="C3" s="18" t="s">
        <v>16</v>
      </c>
      <c r="D3" s="19" t="s">
        <v>17</v>
      </c>
      <c r="E3" s="18" t="s">
        <v>18</v>
      </c>
      <c r="F3" s="18" t="s">
        <v>19</v>
      </c>
      <c r="G3" s="18" t="s">
        <v>20</v>
      </c>
      <c r="H3" s="18" t="s">
        <v>45</v>
      </c>
      <c r="I3" s="20" t="s">
        <v>21</v>
      </c>
      <c r="J3" s="18" t="s">
        <v>22</v>
      </c>
      <c r="K3" s="21" t="s">
        <v>23</v>
      </c>
      <c r="L3" s="22" t="s">
        <v>24</v>
      </c>
      <c r="M3" s="18" t="s">
        <v>25</v>
      </c>
      <c r="N3" s="18" t="s">
        <v>26</v>
      </c>
      <c r="O3" s="19" t="s">
        <v>27</v>
      </c>
      <c r="P3" s="18" t="s">
        <v>28</v>
      </c>
      <c r="Q3" s="18" t="s">
        <v>29</v>
      </c>
      <c r="R3" s="18" t="s">
        <v>30</v>
      </c>
      <c r="S3" s="18" t="s">
        <v>46</v>
      </c>
      <c r="T3" s="18" t="s">
        <v>31</v>
      </c>
      <c r="U3" s="18" t="s">
        <v>32</v>
      </c>
      <c r="V3" s="23" t="s">
        <v>33</v>
      </c>
      <c r="W3" s="24" t="s">
        <v>34</v>
      </c>
      <c r="X3" s="25" t="s">
        <v>35</v>
      </c>
      <c r="Y3" s="25" t="s">
        <v>36</v>
      </c>
      <c r="Z3" s="21" t="s">
        <v>37</v>
      </c>
      <c r="AA3" s="21" t="s">
        <v>38</v>
      </c>
      <c r="AB3" s="21" t="s">
        <v>39</v>
      </c>
      <c r="AC3" s="25" t="s">
        <v>40</v>
      </c>
      <c r="AD3" s="21" t="s">
        <v>41</v>
      </c>
      <c r="AE3" s="23" t="s">
        <v>42</v>
      </c>
    </row>
    <row r="4" spans="1:31">
      <c r="A4" s="15">
        <v>46112</v>
      </c>
      <c r="B4" s="9">
        <v>1776</v>
      </c>
      <c r="C4" s="9">
        <v>0</v>
      </c>
      <c r="D4" s="10"/>
      <c r="E4" s="9">
        <v>0</v>
      </c>
      <c r="F4" s="9">
        <f>+E4</f>
        <v>0</v>
      </c>
      <c r="G4" s="9">
        <f>+B4+C4-E4</f>
        <v>1776</v>
      </c>
      <c r="H4" s="9"/>
      <c r="I4" s="11">
        <v>1776</v>
      </c>
      <c r="J4" s="9">
        <f t="shared" ref="J4:J34" si="0">+G4-I4</f>
        <v>0</v>
      </c>
      <c r="K4" s="6" t="e">
        <f>+J4/F4*100</f>
        <v>#DIV/0!</v>
      </c>
      <c r="L4" s="4">
        <v>46112</v>
      </c>
      <c r="M4" s="9">
        <v>8140.6</v>
      </c>
      <c r="N4" s="9">
        <v>0</v>
      </c>
      <c r="O4" s="10"/>
      <c r="P4" s="9">
        <v>0</v>
      </c>
      <c r="Q4" s="9">
        <f>+P4</f>
        <v>0</v>
      </c>
      <c r="R4" s="9">
        <f>+Tabla1[[#This Row],[Columna12]]+Tabla1[[#This Row],[Columna13]]-Tabla1[[#This Row],[Columna15]]</f>
        <v>8140.6</v>
      </c>
      <c r="S4" s="9"/>
      <c r="T4" s="9"/>
      <c r="U4" s="9">
        <v>0</v>
      </c>
      <c r="V4" s="7" t="e">
        <f t="shared" ref="V4:V34" si="1">+U4/Q4*100</f>
        <v>#DIV/0!</v>
      </c>
      <c r="W4" s="8">
        <v>1</v>
      </c>
      <c r="X4" s="5">
        <v>2560</v>
      </c>
      <c r="Y4" s="5" t="e">
        <v>#REF!</v>
      </c>
      <c r="Z4" s="6" t="e">
        <v>#REF!</v>
      </c>
      <c r="AA4" s="6" t="e">
        <f>+Z4</f>
        <v>#REF!</v>
      </c>
      <c r="AB4" s="6" t="e">
        <f>+(Z4+AC4)-(X4+Y4)</f>
        <v>#REF!</v>
      </c>
      <c r="AC4" s="5" t="e">
        <f>+#REF!</f>
        <v>#REF!</v>
      </c>
      <c r="AD4" s="6" t="e">
        <f>+AB4</f>
        <v>#REF!</v>
      </c>
      <c r="AE4" s="7" t="e">
        <f>+AD4/AA4*100</f>
        <v>#REF!</v>
      </c>
    </row>
    <row r="5" spans="1:31">
      <c r="A5" s="15">
        <v>46113</v>
      </c>
      <c r="B5" s="9">
        <f t="shared" ref="B5:B34" si="2">+G4</f>
        <v>1776</v>
      </c>
      <c r="C5" s="46">
        <v>3600</v>
      </c>
      <c r="D5" s="12" t="s">
        <v>52</v>
      </c>
      <c r="E5" s="9">
        <v>1702.8889999999999</v>
      </c>
      <c r="F5" s="9">
        <f>+F4+Tabla1[[#This Row],[Columna5]]</f>
        <v>1702.8889999999999</v>
      </c>
      <c r="G5" s="9">
        <f>+G4+Tabla1[[#This Row],[Columna3]]-Tabla1[[#This Row],[Columna5]]</f>
        <v>3673.1109999999999</v>
      </c>
      <c r="H5" s="9"/>
      <c r="I5" s="11">
        <v>3632.6</v>
      </c>
      <c r="J5" s="9">
        <f t="shared" si="0"/>
        <v>40.510999999999967</v>
      </c>
      <c r="K5" s="6">
        <f t="shared" ref="K5:K34" si="3">+J5/F5*100</f>
        <v>2.3789571721938407</v>
      </c>
      <c r="L5" s="4">
        <v>46113</v>
      </c>
      <c r="M5" s="9">
        <f t="shared" ref="M5:M34" si="4">+R4</f>
        <v>8140.6</v>
      </c>
      <c r="N5" s="9">
        <v>7400</v>
      </c>
      <c r="O5" s="10" t="s">
        <v>52</v>
      </c>
      <c r="P5" s="9">
        <v>6638.07</v>
      </c>
      <c r="Q5" s="9">
        <f>+Q4+Tabla1[[#This Row],[Columna15]]</f>
        <v>6638.07</v>
      </c>
      <c r="R5" s="9">
        <f>+R4+Tabla1[[#This Row],[Columna13]]-Tabla1[[#This Row],[Columna15]]</f>
        <v>8902.5300000000007</v>
      </c>
      <c r="S5" s="9"/>
      <c r="T5" s="9">
        <v>8929</v>
      </c>
      <c r="U5" s="9">
        <f t="shared" ref="U5:U34" si="5">+R5-T5</f>
        <v>-26.469999999999345</v>
      </c>
      <c r="V5" s="7">
        <f t="shared" si="1"/>
        <v>-0.39876048309221424</v>
      </c>
      <c r="W5" s="8">
        <v>2</v>
      </c>
      <c r="X5" s="5" t="e">
        <f>+AC4</f>
        <v>#REF!</v>
      </c>
      <c r="Y5" s="5" t="e">
        <v>#REF!</v>
      </c>
      <c r="Z5" s="6" t="e">
        <v>#REF!</v>
      </c>
      <c r="AA5" s="6" t="e">
        <f>+AA4+Z5</f>
        <v>#REF!</v>
      </c>
      <c r="AB5" s="6" t="e">
        <f>+(Z5+AC5)-(X5+Y5)</f>
        <v>#REF!</v>
      </c>
      <c r="AC5" s="5" t="e">
        <f>+#REF!</f>
        <v>#REF!</v>
      </c>
      <c r="AD5" s="6" t="e">
        <f>+AD4+AB5</f>
        <v>#REF!</v>
      </c>
      <c r="AE5" s="7" t="e">
        <f t="shared" ref="AE5:AE34" si="6">+AD5/AA5*100</f>
        <v>#REF!</v>
      </c>
    </row>
    <row r="6" spans="1:31">
      <c r="A6" s="15">
        <v>46114</v>
      </c>
      <c r="B6" s="9">
        <f t="shared" si="2"/>
        <v>3673.1109999999999</v>
      </c>
      <c r="C6" s="9">
        <v>3340</v>
      </c>
      <c r="D6" s="10" t="s">
        <v>80</v>
      </c>
      <c r="E6" s="9">
        <v>1595.98</v>
      </c>
      <c r="F6" s="9">
        <f>+F5+Tabla1[[#This Row],[Columna5]]</f>
        <v>3298.8689999999997</v>
      </c>
      <c r="G6" s="9">
        <f>+G5+Tabla1[[#This Row],[Columna3]]-Tabla1[[#This Row],[Columna5]]</f>
        <v>5417.1309999999994</v>
      </c>
      <c r="H6" s="9"/>
      <c r="I6" s="11">
        <v>5329.8</v>
      </c>
      <c r="J6" s="9">
        <f t="shared" si="0"/>
        <v>87.330999999999221</v>
      </c>
      <c r="K6" s="6">
        <f t="shared" si="3"/>
        <v>2.6473012417285813</v>
      </c>
      <c r="L6" s="4">
        <v>46114</v>
      </c>
      <c r="M6" s="9">
        <f t="shared" si="4"/>
        <v>8902.5300000000007</v>
      </c>
      <c r="N6" s="9">
        <v>5500</v>
      </c>
      <c r="O6" s="10" t="s">
        <v>81</v>
      </c>
      <c r="P6" s="9">
        <v>2305.1869999999999</v>
      </c>
      <c r="Q6" s="9">
        <f>+Q5+Tabla1[[#This Row],[Columna15]]</f>
        <v>8943.2569999999996</v>
      </c>
      <c r="R6" s="9">
        <f>+R5+Tabla1[[#This Row],[Columna13]]-Tabla1[[#This Row],[Columna15]]</f>
        <v>12097.343000000001</v>
      </c>
      <c r="S6" s="9"/>
      <c r="T6" s="9">
        <v>6659.6</v>
      </c>
      <c r="U6" s="9">
        <f t="shared" si="5"/>
        <v>5437.7430000000004</v>
      </c>
      <c r="V6" s="7">
        <f t="shared" si="1"/>
        <v>60.802714268414746</v>
      </c>
      <c r="W6" s="8">
        <v>3</v>
      </c>
      <c r="X6" s="5" t="e">
        <f t="shared" ref="X6:X34" si="7">+AC5</f>
        <v>#REF!</v>
      </c>
      <c r="Y6" s="5" t="e">
        <v>#REF!</v>
      </c>
      <c r="Z6" s="6" t="e">
        <v>#REF!</v>
      </c>
      <c r="AA6" s="6" t="e">
        <f t="shared" ref="AA6:AA34" si="8">+AA5+Z6</f>
        <v>#REF!</v>
      </c>
      <c r="AB6" s="6" t="e">
        <f t="shared" ref="AB6:AB34" si="9">+(Z6+AC6)-(X6+Y6)</f>
        <v>#REF!</v>
      </c>
      <c r="AC6" s="5" t="e">
        <f>+#REF!</f>
        <v>#REF!</v>
      </c>
      <c r="AD6" s="6" t="e">
        <f>+AD5+AB6</f>
        <v>#REF!</v>
      </c>
      <c r="AE6" s="7" t="e">
        <f t="shared" si="6"/>
        <v>#REF!</v>
      </c>
    </row>
    <row r="7" spans="1:31">
      <c r="A7" s="15">
        <v>46115</v>
      </c>
      <c r="B7" s="9">
        <f t="shared" si="2"/>
        <v>5417.1309999999994</v>
      </c>
      <c r="C7" s="9">
        <v>0</v>
      </c>
      <c r="D7" s="10"/>
      <c r="E7" s="9">
        <v>1330.9369999999999</v>
      </c>
      <c r="F7" s="9">
        <f>+F6+Tabla1[[#This Row],[Columna5]]</f>
        <v>4629.8059999999996</v>
      </c>
      <c r="G7" s="9">
        <f>+G6+Tabla1[[#This Row],[Columna3]]-Tabla1[[#This Row],[Columna5]]</f>
        <v>4086.1939999999995</v>
      </c>
      <c r="H7" s="9"/>
      <c r="I7" s="11">
        <v>4030.4</v>
      </c>
      <c r="J7" s="9">
        <f t="shared" si="0"/>
        <v>55.793999999999414</v>
      </c>
      <c r="K7" s="6">
        <f t="shared" si="3"/>
        <v>1.2051044903393235</v>
      </c>
      <c r="L7" s="4">
        <v>46115</v>
      </c>
      <c r="M7" s="9">
        <f t="shared" si="4"/>
        <v>12097.343000000001</v>
      </c>
      <c r="N7" s="9">
        <v>0</v>
      </c>
      <c r="O7" s="10"/>
      <c r="P7" s="9">
        <v>1367.73</v>
      </c>
      <c r="Q7" s="9">
        <f>+Q6+Tabla1[[#This Row],[Columna15]]</f>
        <v>10310.986999999999</v>
      </c>
      <c r="R7" s="9">
        <f>+R6+Tabla1[[#This Row],[Columna13]]-Tabla1[[#This Row],[Columna15]]</f>
        <v>10729.613000000001</v>
      </c>
      <c r="S7" s="9"/>
      <c r="T7" s="9">
        <v>10688.8</v>
      </c>
      <c r="U7" s="9">
        <f t="shared" si="5"/>
        <v>40.813000000001921</v>
      </c>
      <c r="V7" s="7">
        <f t="shared" si="1"/>
        <v>0.39582049710664868</v>
      </c>
      <c r="W7" s="8">
        <v>4</v>
      </c>
      <c r="X7" s="5" t="e">
        <f t="shared" si="7"/>
        <v>#REF!</v>
      </c>
      <c r="Y7" s="5" t="e">
        <v>#REF!</v>
      </c>
      <c r="Z7" s="6" t="e">
        <v>#REF!</v>
      </c>
      <c r="AA7" s="6" t="e">
        <f t="shared" si="8"/>
        <v>#REF!</v>
      </c>
      <c r="AB7" s="6" t="e">
        <f t="shared" si="9"/>
        <v>#REF!</v>
      </c>
      <c r="AC7" s="5" t="e">
        <f>+#REF!</f>
        <v>#REF!</v>
      </c>
      <c r="AD7" s="6" t="e">
        <f t="shared" ref="AD7:AD34" si="10">+AD6+AB7</f>
        <v>#REF!</v>
      </c>
      <c r="AE7" s="7" t="e">
        <f t="shared" si="6"/>
        <v>#REF!</v>
      </c>
    </row>
    <row r="8" spans="1:31">
      <c r="A8" s="15">
        <v>46116</v>
      </c>
      <c r="B8" s="9">
        <f t="shared" si="2"/>
        <v>4086.1939999999995</v>
      </c>
      <c r="C8" s="9">
        <v>1800</v>
      </c>
      <c r="D8" s="10" t="s">
        <v>78</v>
      </c>
      <c r="E8" s="9">
        <v>2305.4920000000002</v>
      </c>
      <c r="F8" s="9">
        <f>+F7+Tabla1[[#This Row],[Columna5]]</f>
        <v>6935.2979999999998</v>
      </c>
      <c r="G8" s="9">
        <f>+G7+Tabla1[[#This Row],[Columna3]]-Tabla1[[#This Row],[Columna5]]</f>
        <v>3580.7019999999993</v>
      </c>
      <c r="H8" s="9"/>
      <c r="I8" s="11">
        <v>3531.2</v>
      </c>
      <c r="J8" s="9">
        <f t="shared" si="0"/>
        <v>49.501999999999498</v>
      </c>
      <c r="K8" s="6">
        <f t="shared" si="3"/>
        <v>0.71376889644827801</v>
      </c>
      <c r="L8" s="4">
        <v>46116</v>
      </c>
      <c r="M8" s="9">
        <f t="shared" si="4"/>
        <v>10729.613000000001</v>
      </c>
      <c r="N8" s="9">
        <v>4000</v>
      </c>
      <c r="O8" s="10" t="s">
        <v>78</v>
      </c>
      <c r="P8" s="9">
        <v>3067.9839999999999</v>
      </c>
      <c r="Q8" s="9">
        <f>+Q7+Tabla1[[#This Row],[Columna15]]</f>
        <v>13378.971</v>
      </c>
      <c r="R8" s="9">
        <f>+R7+Tabla1[[#This Row],[Columna13]]-Tabla1[[#This Row],[Columna15]]</f>
        <v>11661.629000000001</v>
      </c>
      <c r="S8" s="9"/>
      <c r="T8" s="9">
        <v>11298</v>
      </c>
      <c r="U8" s="9">
        <f t="shared" si="5"/>
        <v>363.62900000000081</v>
      </c>
      <c r="V8" s="7">
        <f t="shared" si="1"/>
        <v>2.7179145541163132</v>
      </c>
      <c r="W8" s="8">
        <v>5</v>
      </c>
      <c r="X8" s="5" t="e">
        <f t="shared" si="7"/>
        <v>#REF!</v>
      </c>
      <c r="Y8" s="5" t="e">
        <v>#REF!</v>
      </c>
      <c r="Z8" s="6" t="e">
        <v>#REF!</v>
      </c>
      <c r="AA8" s="6" t="e">
        <f t="shared" si="8"/>
        <v>#REF!</v>
      </c>
      <c r="AB8" s="6" t="e">
        <f t="shared" si="9"/>
        <v>#REF!</v>
      </c>
      <c r="AC8" s="5" t="e">
        <f>+#REF!</f>
        <v>#REF!</v>
      </c>
      <c r="AD8" s="6" t="e">
        <f t="shared" si="10"/>
        <v>#REF!</v>
      </c>
      <c r="AE8" s="7" t="e">
        <f t="shared" si="6"/>
        <v>#REF!</v>
      </c>
    </row>
    <row r="9" spans="1:31">
      <c r="A9" s="15">
        <v>46117</v>
      </c>
      <c r="B9" s="9">
        <f t="shared" si="2"/>
        <v>3580.7019999999993</v>
      </c>
      <c r="C9" s="46">
        <v>0</v>
      </c>
      <c r="D9" s="10"/>
      <c r="E9" s="9">
        <v>1690.3340000000001</v>
      </c>
      <c r="F9" s="9">
        <f>+F8+Tabla1[[#This Row],[Columna5]]</f>
        <v>8625.6319999999996</v>
      </c>
      <c r="G9" s="9">
        <f>+G8+Tabla1[[#This Row],[Columna3]]-Tabla1[[#This Row],[Columna5]]</f>
        <v>1890.3679999999993</v>
      </c>
      <c r="H9" s="9"/>
      <c r="I9" s="11">
        <v>1884</v>
      </c>
      <c r="J9" s="9">
        <f t="shared" si="0"/>
        <v>6.367999999999256</v>
      </c>
      <c r="K9" s="6">
        <f t="shared" si="3"/>
        <v>7.3826474396302272E-2</v>
      </c>
      <c r="L9" s="4">
        <v>46117</v>
      </c>
      <c r="M9" s="9">
        <f t="shared" si="4"/>
        <v>11661.629000000001</v>
      </c>
      <c r="N9" s="46">
        <v>0</v>
      </c>
      <c r="O9" s="10"/>
      <c r="P9" s="9">
        <v>1975.328</v>
      </c>
      <c r="Q9" s="9">
        <f>+Q8+Tabla1[[#This Row],[Columna15]]</f>
        <v>15354.298999999999</v>
      </c>
      <c r="R9" s="9">
        <f>+R8+Tabla1[[#This Row],[Columna13]]-Tabla1[[#This Row],[Columna15]]</f>
        <v>9686.3010000000013</v>
      </c>
      <c r="S9" s="9"/>
      <c r="T9" s="9">
        <v>9671.4</v>
      </c>
      <c r="U9" s="9">
        <f t="shared" si="5"/>
        <v>14.901000000001659</v>
      </c>
      <c r="V9" s="7">
        <f t="shared" si="1"/>
        <v>9.7047738877572065E-2</v>
      </c>
      <c r="W9" s="8">
        <v>6</v>
      </c>
      <c r="X9" s="5" t="e">
        <f t="shared" si="7"/>
        <v>#REF!</v>
      </c>
      <c r="Y9" s="5" t="e">
        <v>#REF!</v>
      </c>
      <c r="Z9" s="6" t="e">
        <v>#REF!</v>
      </c>
      <c r="AA9" s="6" t="e">
        <f t="shared" si="8"/>
        <v>#REF!</v>
      </c>
      <c r="AB9" s="6" t="e">
        <f t="shared" si="9"/>
        <v>#REF!</v>
      </c>
      <c r="AC9" s="5" t="e">
        <f>+#REF!</f>
        <v>#REF!</v>
      </c>
      <c r="AD9" s="6" t="e">
        <f t="shared" si="10"/>
        <v>#REF!</v>
      </c>
      <c r="AE9" s="7" t="e">
        <f t="shared" si="6"/>
        <v>#REF!</v>
      </c>
    </row>
    <row r="10" spans="1:31">
      <c r="A10" s="15">
        <v>46118</v>
      </c>
      <c r="B10" s="9">
        <f t="shared" si="2"/>
        <v>1890.3679999999993</v>
      </c>
      <c r="C10" s="9">
        <v>3600</v>
      </c>
      <c r="D10" s="10" t="s">
        <v>79</v>
      </c>
      <c r="E10" s="9">
        <v>1470.4960000000001</v>
      </c>
      <c r="F10" s="9">
        <f>+F9+Tabla1[[#This Row],[Columna5]]</f>
        <v>10096.128000000001</v>
      </c>
      <c r="G10" s="9">
        <f>+G9+Tabla1[[#This Row],[Columna3]]-Tabla1[[#This Row],[Columna5]]</f>
        <v>4019.8719999999994</v>
      </c>
      <c r="H10" s="9"/>
      <c r="I10" s="11">
        <v>3965.4</v>
      </c>
      <c r="J10" s="9">
        <f t="shared" si="0"/>
        <v>54.471999999999298</v>
      </c>
      <c r="K10" s="6">
        <f t="shared" si="3"/>
        <v>0.53953357168212701</v>
      </c>
      <c r="L10" s="4">
        <v>46118</v>
      </c>
      <c r="M10" s="9">
        <f t="shared" si="4"/>
        <v>9686.3010000000013</v>
      </c>
      <c r="N10" s="46">
        <v>7400</v>
      </c>
      <c r="O10" s="10" t="s">
        <v>79</v>
      </c>
      <c r="P10" s="9">
        <v>8399.1530000000002</v>
      </c>
      <c r="Q10" s="9">
        <f>+Q9+Tabla1[[#This Row],[Columna15]]</f>
        <v>23753.451999999997</v>
      </c>
      <c r="R10" s="9">
        <f>+R9+Tabla1[[#This Row],[Columna13]]-Tabla1[[#This Row],[Columna15]]</f>
        <v>8687.1479999999992</v>
      </c>
      <c r="S10" s="9"/>
      <c r="T10" s="9">
        <v>8703.6</v>
      </c>
      <c r="U10" s="9">
        <f t="shared" si="5"/>
        <v>-16.452000000001135</v>
      </c>
      <c r="V10" s="7">
        <f t="shared" si="1"/>
        <v>-6.9261511968875672E-2</v>
      </c>
      <c r="W10" s="8">
        <v>7</v>
      </c>
      <c r="X10" s="5" t="e">
        <f t="shared" si="7"/>
        <v>#REF!</v>
      </c>
      <c r="Y10" s="5" t="e">
        <v>#REF!</v>
      </c>
      <c r="Z10" s="6" t="e">
        <v>#REF!</v>
      </c>
      <c r="AA10" s="6" t="e">
        <f t="shared" si="8"/>
        <v>#REF!</v>
      </c>
      <c r="AB10" s="6" t="e">
        <f t="shared" si="9"/>
        <v>#REF!</v>
      </c>
      <c r="AC10" s="5" t="e">
        <f>+#REF!</f>
        <v>#REF!</v>
      </c>
      <c r="AD10" s="6" t="e">
        <f t="shared" si="10"/>
        <v>#REF!</v>
      </c>
      <c r="AE10" s="7" t="e">
        <f t="shared" si="6"/>
        <v>#REF!</v>
      </c>
    </row>
    <row r="11" spans="1:31">
      <c r="A11" s="15">
        <v>46119</v>
      </c>
      <c r="B11" s="9">
        <f t="shared" si="2"/>
        <v>4019.8719999999994</v>
      </c>
      <c r="C11" s="9">
        <v>0</v>
      </c>
      <c r="D11" s="10"/>
      <c r="E11" s="9">
        <v>907.67600000000004</v>
      </c>
      <c r="F11" s="9">
        <f>+F10+Tabla1[[#This Row],[Columna5]]</f>
        <v>11003.804</v>
      </c>
      <c r="G11" s="9">
        <f>+G10+Tabla1[[#This Row],[Columna3]]-Tabla1[[#This Row],[Columna5]]</f>
        <v>3112.1959999999995</v>
      </c>
      <c r="H11" s="9"/>
      <c r="I11" s="11">
        <v>3082.2</v>
      </c>
      <c r="J11" s="9">
        <f t="shared" si="0"/>
        <v>29.99599999999964</v>
      </c>
      <c r="K11" s="6">
        <f t="shared" si="3"/>
        <v>0.27259664021641644</v>
      </c>
      <c r="L11" s="4">
        <v>46119</v>
      </c>
      <c r="M11" s="9">
        <f t="shared" si="4"/>
        <v>8687.1479999999992</v>
      </c>
      <c r="N11" s="46">
        <f>5500+5500</f>
        <v>11000</v>
      </c>
      <c r="O11" s="10" t="s">
        <v>88</v>
      </c>
      <c r="P11" s="9">
        <v>10435.493</v>
      </c>
      <c r="Q11" s="9">
        <f>+Q10+Tabla1[[#This Row],[Columna15]]</f>
        <v>34188.945</v>
      </c>
      <c r="R11" s="9">
        <f>+R10+Tabla1[[#This Row],[Columna13]]-Tabla1[[#This Row],[Columna15]]</f>
        <v>9251.6550000000007</v>
      </c>
      <c r="S11" s="9"/>
      <c r="T11" s="9">
        <v>3842.4</v>
      </c>
      <c r="U11" s="9">
        <f t="shared" si="5"/>
        <v>5409.255000000001</v>
      </c>
      <c r="V11" s="7">
        <f t="shared" si="1"/>
        <v>15.821649366483816</v>
      </c>
      <c r="W11" s="8">
        <v>8</v>
      </c>
      <c r="X11" s="5" t="e">
        <f t="shared" si="7"/>
        <v>#REF!</v>
      </c>
      <c r="Y11" s="5" t="e">
        <v>#REF!</v>
      </c>
      <c r="Z11" s="6" t="e">
        <v>#REF!</v>
      </c>
      <c r="AA11" s="6" t="e">
        <f t="shared" si="8"/>
        <v>#REF!</v>
      </c>
      <c r="AB11" s="6" t="e">
        <f t="shared" si="9"/>
        <v>#REF!</v>
      </c>
      <c r="AC11" s="5" t="e">
        <f>+#REF!</f>
        <v>#REF!</v>
      </c>
      <c r="AD11" s="6" t="e">
        <f t="shared" si="10"/>
        <v>#REF!</v>
      </c>
      <c r="AE11" s="7" t="e">
        <f t="shared" si="6"/>
        <v>#REF!</v>
      </c>
    </row>
    <row r="12" spans="1:31">
      <c r="A12" s="15">
        <v>46120</v>
      </c>
      <c r="B12" s="9">
        <f t="shared" si="2"/>
        <v>3112.1959999999995</v>
      </c>
      <c r="C12" s="46">
        <v>0</v>
      </c>
      <c r="D12" s="10"/>
      <c r="E12" s="9">
        <v>1428.42</v>
      </c>
      <c r="F12" s="9">
        <f>+F11+Tabla1[[#This Row],[Columna5]]</f>
        <v>12432.224</v>
      </c>
      <c r="G12" s="9">
        <f>+G11+Tabla1[[#This Row],[Columna3]]-Tabla1[[#This Row],[Columna5]]</f>
        <v>1683.7759999999994</v>
      </c>
      <c r="H12" s="9"/>
      <c r="I12" s="11">
        <v>1696</v>
      </c>
      <c r="J12" s="9">
        <f t="shared" si="0"/>
        <v>-12.224000000000615</v>
      </c>
      <c r="K12" s="6">
        <f t="shared" si="3"/>
        <v>-9.8325126702998714E-2</v>
      </c>
      <c r="L12" s="4">
        <v>46120</v>
      </c>
      <c r="M12" s="9">
        <f t="shared" si="4"/>
        <v>9251.6550000000007</v>
      </c>
      <c r="N12" s="46">
        <f>5500+3284</f>
        <v>8784</v>
      </c>
      <c r="O12" s="10" t="s">
        <v>83</v>
      </c>
      <c r="P12" s="9">
        <v>8842.2099999999991</v>
      </c>
      <c r="Q12" s="9">
        <f>+Q11+Tabla1[[#This Row],[Columna15]]</f>
        <v>43031.154999999999</v>
      </c>
      <c r="R12" s="9">
        <f>+R11+Tabla1[[#This Row],[Columna13]]-Tabla1[[#This Row],[Columna15]]</f>
        <v>9193.4449999999997</v>
      </c>
      <c r="S12" s="9"/>
      <c r="T12" s="9">
        <v>3756.6</v>
      </c>
      <c r="U12" s="9">
        <f t="shared" si="5"/>
        <v>5436.8449999999993</v>
      </c>
      <c r="V12" s="7">
        <f t="shared" si="1"/>
        <v>12.634671321278731</v>
      </c>
      <c r="W12" s="8">
        <v>9</v>
      </c>
      <c r="X12" s="5" t="e">
        <f t="shared" si="7"/>
        <v>#REF!</v>
      </c>
      <c r="Y12" s="5" t="e">
        <v>#REF!</v>
      </c>
      <c r="Z12" s="6" t="e">
        <v>#REF!</v>
      </c>
      <c r="AA12" s="6" t="e">
        <f t="shared" si="8"/>
        <v>#REF!</v>
      </c>
      <c r="AB12" s="6" t="e">
        <f t="shared" si="9"/>
        <v>#REF!</v>
      </c>
      <c r="AC12" s="5" t="e">
        <f>+#REF!</f>
        <v>#REF!</v>
      </c>
      <c r="AD12" s="6" t="e">
        <f t="shared" si="10"/>
        <v>#REF!</v>
      </c>
      <c r="AE12" s="7" t="e">
        <f t="shared" si="6"/>
        <v>#REF!</v>
      </c>
    </row>
    <row r="13" spans="1:31">
      <c r="A13" s="15">
        <v>46121</v>
      </c>
      <c r="B13" s="9">
        <f t="shared" si="2"/>
        <v>1683.7759999999994</v>
      </c>
      <c r="C13" s="9">
        <v>3340</v>
      </c>
      <c r="D13" s="10" t="s">
        <v>84</v>
      </c>
      <c r="E13" s="9">
        <v>1109.212</v>
      </c>
      <c r="F13" s="9">
        <f>+F12+Tabla1[[#This Row],[Columna5]]</f>
        <v>13541.436</v>
      </c>
      <c r="G13" s="9">
        <f>+G12+Tabla1[[#This Row],[Columna3]]-Tabla1[[#This Row],[Columna5]]</f>
        <v>3914.5639999999999</v>
      </c>
      <c r="H13" s="9"/>
      <c r="I13" s="11">
        <v>3830</v>
      </c>
      <c r="J13" s="9">
        <f t="shared" si="0"/>
        <v>84.563999999999851</v>
      </c>
      <c r="K13" s="6">
        <f t="shared" si="3"/>
        <v>0.62448325273626704</v>
      </c>
      <c r="L13" s="4">
        <v>46121</v>
      </c>
      <c r="M13" s="9">
        <f t="shared" si="4"/>
        <v>9193.4449999999997</v>
      </c>
      <c r="N13" s="46">
        <f>5035+5500</f>
        <v>10535</v>
      </c>
      <c r="O13" s="10" t="s">
        <v>85</v>
      </c>
      <c r="P13" s="9">
        <v>8947.848</v>
      </c>
      <c r="Q13" s="9">
        <f>+Q12+Tabla1[[#This Row],[Columna15]]</f>
        <v>51979.002999999997</v>
      </c>
      <c r="R13" s="9">
        <f>+R12+Tabla1[[#This Row],[Columna13]]-Tabla1[[#This Row],[Columna15]]</f>
        <v>10780.597</v>
      </c>
      <c r="S13" s="9"/>
      <c r="T13" s="9">
        <v>5335.8</v>
      </c>
      <c r="U13" s="9">
        <f t="shared" si="5"/>
        <v>5444.7969999999996</v>
      </c>
      <c r="V13" s="7">
        <f t="shared" si="1"/>
        <v>10.47499314290426</v>
      </c>
      <c r="W13" s="8">
        <v>10</v>
      </c>
      <c r="X13" s="5" t="e">
        <f t="shared" si="7"/>
        <v>#REF!</v>
      </c>
      <c r="Y13" s="5" t="e">
        <v>#REF!</v>
      </c>
      <c r="Z13" s="6" t="e">
        <v>#REF!</v>
      </c>
      <c r="AA13" s="6" t="e">
        <f t="shared" si="8"/>
        <v>#REF!</v>
      </c>
      <c r="AB13" s="6" t="e">
        <f t="shared" si="9"/>
        <v>#REF!</v>
      </c>
      <c r="AC13" s="5" t="e">
        <f>+#REF!</f>
        <v>#REF!</v>
      </c>
      <c r="AD13" s="6" t="e">
        <f t="shared" si="10"/>
        <v>#REF!</v>
      </c>
      <c r="AE13" s="7" t="e">
        <f t="shared" si="6"/>
        <v>#REF!</v>
      </c>
    </row>
    <row r="14" spans="1:31">
      <c r="A14" s="15">
        <v>46122</v>
      </c>
      <c r="B14" s="9">
        <f t="shared" si="2"/>
        <v>3914.5639999999999</v>
      </c>
      <c r="C14" s="9">
        <v>0</v>
      </c>
      <c r="D14" s="10"/>
      <c r="E14" s="9">
        <v>1242.174</v>
      </c>
      <c r="F14" s="9">
        <f>+F13+Tabla1[[#This Row],[Columna5]]</f>
        <v>14783.61</v>
      </c>
      <c r="G14" s="9">
        <f>+G13+Tabla1[[#This Row],[Columna3]]-Tabla1[[#This Row],[Columna5]]</f>
        <v>2672.39</v>
      </c>
      <c r="H14" s="9"/>
      <c r="I14" s="11">
        <v>2618</v>
      </c>
      <c r="J14" s="9">
        <f t="shared" si="0"/>
        <v>54.389999999999873</v>
      </c>
      <c r="K14" s="6">
        <f t="shared" si="3"/>
        <v>0.36790743262301878</v>
      </c>
      <c r="L14" s="4">
        <v>46122</v>
      </c>
      <c r="M14" s="9">
        <f t="shared" si="4"/>
        <v>10780.597</v>
      </c>
      <c r="N14" s="46">
        <v>11000</v>
      </c>
      <c r="O14" s="10" t="s">
        <v>86</v>
      </c>
      <c r="P14" s="9">
        <v>8945.8410000000003</v>
      </c>
      <c r="Q14" s="9">
        <f>+Q13+Tabla1[[#This Row],[Columna15]]</f>
        <v>60924.843999999997</v>
      </c>
      <c r="R14" s="9">
        <f>+R13+Tabla1[[#This Row],[Columna13]]-Tabla1[[#This Row],[Columna15]]</f>
        <v>12834.756000000001</v>
      </c>
      <c r="S14" s="9"/>
      <c r="T14" s="9">
        <v>1815.6</v>
      </c>
      <c r="U14" s="9">
        <f t="shared" si="5"/>
        <v>11019.156000000001</v>
      </c>
      <c r="V14" s="7">
        <f t="shared" si="1"/>
        <v>18.086473885759972</v>
      </c>
      <c r="W14" s="8">
        <v>11</v>
      </c>
      <c r="X14" s="5" t="e">
        <f t="shared" si="7"/>
        <v>#REF!</v>
      </c>
      <c r="Y14" s="5" t="e">
        <v>#REF!</v>
      </c>
      <c r="Z14" s="6" t="e">
        <v>#REF!</v>
      </c>
      <c r="AA14" s="6" t="e">
        <f t="shared" si="8"/>
        <v>#REF!</v>
      </c>
      <c r="AB14" s="6" t="e">
        <f t="shared" si="9"/>
        <v>#REF!</v>
      </c>
      <c r="AC14" s="5" t="e">
        <f>+#REF!</f>
        <v>#REF!</v>
      </c>
      <c r="AD14" s="6" t="e">
        <f t="shared" si="10"/>
        <v>#REF!</v>
      </c>
      <c r="AE14" s="7" t="e">
        <f t="shared" si="6"/>
        <v>#REF!</v>
      </c>
    </row>
    <row r="15" spans="1:31">
      <c r="A15" s="15">
        <v>102</v>
      </c>
      <c r="B15" s="9">
        <f t="shared" si="2"/>
        <v>2672.39</v>
      </c>
      <c r="C15" s="46">
        <v>0</v>
      </c>
      <c r="D15" s="10"/>
      <c r="E15" s="9">
        <v>1072.981</v>
      </c>
      <c r="F15" s="9">
        <f>+F14+Tabla1[[#This Row],[Columna5]]</f>
        <v>15856.591</v>
      </c>
      <c r="G15" s="9">
        <f>+G14+Tabla1[[#This Row],[Columna3]]-Tabla1[[#This Row],[Columna5]]</f>
        <v>1599.4089999999999</v>
      </c>
      <c r="H15" s="9"/>
      <c r="I15" s="11">
        <v>1580.6</v>
      </c>
      <c r="J15" s="9">
        <f t="shared" si="0"/>
        <v>18.808999999999969</v>
      </c>
      <c r="K15" s="6">
        <f t="shared" si="3"/>
        <v>0.11861944348567714</v>
      </c>
      <c r="L15" s="4">
        <v>46123</v>
      </c>
      <c r="M15" s="9">
        <f t="shared" si="4"/>
        <v>12834.756000000001</v>
      </c>
      <c r="N15" s="46">
        <v>5500</v>
      </c>
      <c r="O15" s="10" t="s">
        <v>87</v>
      </c>
      <c r="P15" s="9">
        <v>7954.6490000000003</v>
      </c>
      <c r="Q15" s="9">
        <f>+Q14+Tabla1[[#This Row],[Columna15]]</f>
        <v>68879.493000000002</v>
      </c>
      <c r="R15" s="9">
        <f>+R14+Tabla1[[#This Row],[Columna13]]-Tabla1[[#This Row],[Columna15]]</f>
        <v>10380.107</v>
      </c>
      <c r="S15" s="9"/>
      <c r="T15" s="9">
        <v>10299</v>
      </c>
      <c r="U15" s="9">
        <f t="shared" si="5"/>
        <v>81.106999999999971</v>
      </c>
      <c r="V15" s="7">
        <f t="shared" si="1"/>
        <v>0.11775202816896456</v>
      </c>
      <c r="W15" s="8">
        <v>12</v>
      </c>
      <c r="X15" s="5" t="e">
        <f t="shared" si="7"/>
        <v>#REF!</v>
      </c>
      <c r="Y15" s="5" t="e">
        <v>#REF!</v>
      </c>
      <c r="Z15" s="6" t="e">
        <v>#REF!</v>
      </c>
      <c r="AA15" s="6" t="e">
        <f t="shared" si="8"/>
        <v>#REF!</v>
      </c>
      <c r="AB15" s="6" t="e">
        <f t="shared" si="9"/>
        <v>#REF!</v>
      </c>
      <c r="AC15" s="5" t="e">
        <f>+#REF!</f>
        <v>#REF!</v>
      </c>
      <c r="AD15" s="6" t="e">
        <f t="shared" si="10"/>
        <v>#REF!</v>
      </c>
      <c r="AE15" s="7" t="e">
        <f t="shared" si="6"/>
        <v>#REF!</v>
      </c>
    </row>
    <row r="16" spans="1:31">
      <c r="A16" s="15">
        <v>46124</v>
      </c>
      <c r="B16" s="9">
        <f t="shared" si="2"/>
        <v>1599.4089999999999</v>
      </c>
      <c r="C16" s="9">
        <v>0</v>
      </c>
      <c r="D16" s="10"/>
      <c r="E16" s="9">
        <v>913.68899999999996</v>
      </c>
      <c r="F16" s="9">
        <f>+F15+Tabla1[[#This Row],[Columna5]]</f>
        <v>16770.28</v>
      </c>
      <c r="G16" s="9">
        <f>+G15+Tabla1[[#This Row],[Columna3]]-Tabla1[[#This Row],[Columna5]]</f>
        <v>685.71999999999991</v>
      </c>
      <c r="H16" s="9"/>
      <c r="I16" s="11">
        <v>716</v>
      </c>
      <c r="J16" s="9">
        <f t="shared" si="0"/>
        <v>-30.280000000000086</v>
      </c>
      <c r="K16" s="6">
        <f t="shared" si="3"/>
        <v>-0.1805575100713887</v>
      </c>
      <c r="L16" s="4">
        <v>46124</v>
      </c>
      <c r="M16" s="9">
        <f t="shared" si="4"/>
        <v>10380.107</v>
      </c>
      <c r="N16" s="46">
        <v>0</v>
      </c>
      <c r="O16" s="10"/>
      <c r="P16" s="9">
        <v>3507.0140000000001</v>
      </c>
      <c r="Q16" s="9">
        <f>+Q15+Tabla1[[#This Row],[Columna15]]</f>
        <v>72386.506999999998</v>
      </c>
      <c r="R16" s="9">
        <f>+R15+Tabla1[[#This Row],[Columna13]]-Tabla1[[#This Row],[Columna15]]</f>
        <v>6873.0929999999998</v>
      </c>
      <c r="S16" s="9"/>
      <c r="T16" s="9">
        <v>6853.8</v>
      </c>
      <c r="U16" s="9">
        <f t="shared" si="5"/>
        <v>19.292999999999665</v>
      </c>
      <c r="V16" s="7">
        <f t="shared" si="1"/>
        <v>2.6652757260409964E-2</v>
      </c>
      <c r="W16" s="8">
        <v>13</v>
      </c>
      <c r="X16" s="5" t="e">
        <f t="shared" si="7"/>
        <v>#REF!</v>
      </c>
      <c r="Y16" s="5" t="e">
        <v>#REF!</v>
      </c>
      <c r="Z16" s="6" t="e">
        <v>#REF!</v>
      </c>
      <c r="AA16" s="6" t="e">
        <f t="shared" si="8"/>
        <v>#REF!</v>
      </c>
      <c r="AB16" s="6" t="e">
        <f t="shared" si="9"/>
        <v>#REF!</v>
      </c>
      <c r="AC16" s="5" t="e">
        <f>+#REF!</f>
        <v>#REF!</v>
      </c>
      <c r="AD16" s="6" t="e">
        <f t="shared" si="10"/>
        <v>#REF!</v>
      </c>
      <c r="AE16" s="7" t="e">
        <f t="shared" si="6"/>
        <v>#REF!</v>
      </c>
    </row>
    <row r="17" spans="1:31">
      <c r="A17" s="15">
        <v>46125</v>
      </c>
      <c r="B17" s="9">
        <f t="shared" si="2"/>
        <v>685.71999999999991</v>
      </c>
      <c r="C17" s="9">
        <v>3340</v>
      </c>
      <c r="D17" s="10" t="s">
        <v>89</v>
      </c>
      <c r="E17" s="9">
        <v>1455.991</v>
      </c>
      <c r="F17" s="9">
        <f>+F16+Tabla1[[#This Row],[Columna5]]</f>
        <v>18226.271000000001</v>
      </c>
      <c r="G17" s="9">
        <f>+G16+Tabla1[[#This Row],[Columna3]]-Tabla1[[#This Row],[Columna5]]</f>
        <v>2569.7289999999998</v>
      </c>
      <c r="H17" s="9"/>
      <c r="I17" s="11">
        <v>2517.6</v>
      </c>
      <c r="J17" s="9">
        <f t="shared" si="0"/>
        <v>52.128999999999905</v>
      </c>
      <c r="K17" s="6">
        <f t="shared" si="3"/>
        <v>0.28601023215335658</v>
      </c>
      <c r="L17" s="4">
        <v>46125</v>
      </c>
      <c r="M17" s="9">
        <f t="shared" si="4"/>
        <v>6873.0929999999998</v>
      </c>
      <c r="N17" s="46">
        <f>5035+5500</f>
        <v>10535</v>
      </c>
      <c r="O17" s="10" t="s">
        <v>90</v>
      </c>
      <c r="P17" s="9">
        <v>7413.79</v>
      </c>
      <c r="Q17" s="9">
        <f>+Q16+Tabla1[[#This Row],[Columna15]]</f>
        <v>79800.296999999991</v>
      </c>
      <c r="R17" s="9">
        <f>+R16+Tabla1[[#This Row],[Columna13]]-Tabla1[[#This Row],[Columna15]]</f>
        <v>9994.3029999999999</v>
      </c>
      <c r="S17" s="9"/>
      <c r="T17" s="9">
        <v>9930.7999999999993</v>
      </c>
      <c r="U17" s="9">
        <f t="shared" si="5"/>
        <v>63.503000000000611</v>
      </c>
      <c r="V17" s="7">
        <f t="shared" si="1"/>
        <v>7.9577398064070645E-2</v>
      </c>
      <c r="W17" s="8">
        <v>14</v>
      </c>
      <c r="X17" s="5" t="e">
        <f t="shared" si="7"/>
        <v>#REF!</v>
      </c>
      <c r="Y17" s="5" t="e">
        <v>#REF!</v>
      </c>
      <c r="Z17" s="6" t="e">
        <v>#REF!</v>
      </c>
      <c r="AA17" s="6" t="e">
        <f t="shared" si="8"/>
        <v>#REF!</v>
      </c>
      <c r="AB17" s="6" t="e">
        <f t="shared" si="9"/>
        <v>#REF!</v>
      </c>
      <c r="AC17" s="5" t="e">
        <f>+#REF!</f>
        <v>#REF!</v>
      </c>
      <c r="AD17" s="6" t="e">
        <f t="shared" si="10"/>
        <v>#REF!</v>
      </c>
      <c r="AE17" s="7" t="e">
        <f t="shared" si="6"/>
        <v>#REF!</v>
      </c>
    </row>
    <row r="18" spans="1:31">
      <c r="A18" s="15">
        <v>46126</v>
      </c>
      <c r="B18" s="9">
        <f t="shared" si="2"/>
        <v>2569.7289999999998</v>
      </c>
      <c r="C18" s="9">
        <v>0</v>
      </c>
      <c r="D18" s="10"/>
      <c r="E18" s="9">
        <v>964.68700000000001</v>
      </c>
      <c r="F18" s="9">
        <f>+F17+Tabla1[[#This Row],[Columna5]]</f>
        <v>19190.958000000002</v>
      </c>
      <c r="G18" s="9">
        <f>+G17+Tabla1[[#This Row],[Columna3]]-Tabla1[[#This Row],[Columna5]]</f>
        <v>1605.0419999999999</v>
      </c>
      <c r="H18" s="9"/>
      <c r="I18" s="11">
        <v>1591</v>
      </c>
      <c r="J18" s="9">
        <f t="shared" si="0"/>
        <v>14.041999999999916</v>
      </c>
      <c r="K18" s="6">
        <f t="shared" si="3"/>
        <v>7.316987510472335E-2</v>
      </c>
      <c r="L18" s="4">
        <v>46126</v>
      </c>
      <c r="M18" s="9">
        <f t="shared" si="4"/>
        <v>9994.3029999999999</v>
      </c>
      <c r="N18" s="46">
        <v>5500</v>
      </c>
      <c r="O18" s="10" t="s">
        <v>91</v>
      </c>
      <c r="P18" s="9">
        <v>9143.4140000000007</v>
      </c>
      <c r="Q18" s="9">
        <f>+Q17+Tabla1[[#This Row],[Columna15]]</f>
        <v>88943.710999999996</v>
      </c>
      <c r="R18" s="9">
        <f>+R17+Tabla1[[#This Row],[Columna13]]-Tabla1[[#This Row],[Columna15]]</f>
        <v>6350.8889999999992</v>
      </c>
      <c r="S18" s="9"/>
      <c r="T18" s="9">
        <v>6349.8</v>
      </c>
      <c r="U18" s="9">
        <f t="shared" si="5"/>
        <v>1.0889999999990323</v>
      </c>
      <c r="V18" s="7">
        <f t="shared" si="1"/>
        <v>1.224369871411181E-3</v>
      </c>
      <c r="W18" s="8">
        <v>15</v>
      </c>
      <c r="X18" s="5" t="e">
        <f t="shared" si="7"/>
        <v>#REF!</v>
      </c>
      <c r="Y18" s="5" t="e">
        <v>#REF!</v>
      </c>
      <c r="Z18" s="6" t="e">
        <v>#REF!</v>
      </c>
      <c r="AA18" s="6" t="e">
        <f t="shared" si="8"/>
        <v>#REF!</v>
      </c>
      <c r="AB18" s="6" t="e">
        <f t="shared" si="9"/>
        <v>#REF!</v>
      </c>
      <c r="AC18" s="5" t="e">
        <f>+#REF!</f>
        <v>#REF!</v>
      </c>
      <c r="AD18" s="6" t="e">
        <f t="shared" si="10"/>
        <v>#REF!</v>
      </c>
      <c r="AE18" s="7" t="e">
        <f t="shared" si="6"/>
        <v>#REF!</v>
      </c>
    </row>
    <row r="19" spans="1:31">
      <c r="A19" s="15">
        <v>46127</v>
      </c>
      <c r="B19" s="9">
        <f t="shared" si="2"/>
        <v>1605.0419999999999</v>
      </c>
      <c r="C19" s="46">
        <v>3600</v>
      </c>
      <c r="D19" s="10" t="s">
        <v>92</v>
      </c>
      <c r="E19" s="9">
        <v>980.90899999999999</v>
      </c>
      <c r="F19" s="9">
        <f>+F18+Tabla1[[#This Row],[Columna5]]</f>
        <v>20171.867000000002</v>
      </c>
      <c r="G19" s="9">
        <f>+G18+Tabla1[[#This Row],[Columna3]]-Tabla1[[#This Row],[Columna5]]</f>
        <v>4224.1329999999998</v>
      </c>
      <c r="H19" s="9"/>
      <c r="I19" s="11">
        <v>4140.2</v>
      </c>
      <c r="J19" s="9">
        <f t="shared" si="0"/>
        <v>83.932999999999993</v>
      </c>
      <c r="K19" s="6">
        <f t="shared" si="3"/>
        <v>0.41608939817023372</v>
      </c>
      <c r="L19" s="4">
        <v>46127</v>
      </c>
      <c r="M19" s="9">
        <f t="shared" si="4"/>
        <v>6350.8889999999992</v>
      </c>
      <c r="N19" s="46">
        <f>7400+5500</f>
        <v>12900</v>
      </c>
      <c r="O19" s="10" t="s">
        <v>93</v>
      </c>
      <c r="P19" s="9">
        <v>8059.2290000000003</v>
      </c>
      <c r="Q19" s="9">
        <f>+Q18+Tabla1[[#This Row],[Columna15]]</f>
        <v>97002.94</v>
      </c>
      <c r="R19" s="9">
        <f>+R18+Tabla1[[#This Row],[Columna13]]-Tabla1[[#This Row],[Columna15]]</f>
        <v>11191.66</v>
      </c>
      <c r="S19" s="9"/>
      <c r="T19" s="9">
        <v>5789.4</v>
      </c>
      <c r="U19" s="9">
        <f t="shared" si="5"/>
        <v>5402.26</v>
      </c>
      <c r="V19" s="7">
        <f t="shared" si="1"/>
        <v>5.5691714086191615</v>
      </c>
      <c r="W19" s="8">
        <v>16</v>
      </c>
      <c r="X19" s="5" t="e">
        <f t="shared" si="7"/>
        <v>#REF!</v>
      </c>
      <c r="Y19" s="5" t="e">
        <v>#REF!</v>
      </c>
      <c r="Z19" s="6" t="e">
        <v>#REF!</v>
      </c>
      <c r="AA19" s="6" t="e">
        <f t="shared" si="8"/>
        <v>#REF!</v>
      </c>
      <c r="AB19" s="6" t="e">
        <f t="shared" si="9"/>
        <v>#REF!</v>
      </c>
      <c r="AC19" s="5" t="e">
        <f>+#REF!</f>
        <v>#REF!</v>
      </c>
      <c r="AD19" s="6" t="e">
        <f t="shared" si="10"/>
        <v>#REF!</v>
      </c>
      <c r="AE19" s="7" t="e">
        <f t="shared" si="6"/>
        <v>#REF!</v>
      </c>
    </row>
    <row r="20" spans="1:31">
      <c r="A20" s="15">
        <v>46128</v>
      </c>
      <c r="B20" s="9">
        <f t="shared" si="2"/>
        <v>4224.1329999999998</v>
      </c>
      <c r="C20" s="9">
        <v>0</v>
      </c>
      <c r="D20" s="10"/>
      <c r="E20" s="9">
        <v>1286.1079999999999</v>
      </c>
      <c r="F20" s="9">
        <f>+F19+Tabla1[[#This Row],[Columna5]]</f>
        <v>21457.975000000002</v>
      </c>
      <c r="G20" s="9">
        <f>+G19+Tabla1[[#This Row],[Columna3]]-Tabla1[[#This Row],[Columna5]]</f>
        <v>2938.0249999999996</v>
      </c>
      <c r="H20" s="9"/>
      <c r="I20" s="11">
        <v>2875</v>
      </c>
      <c r="J20" s="9">
        <f t="shared" si="0"/>
        <v>63.024999999999636</v>
      </c>
      <c r="K20" s="6">
        <f t="shared" si="3"/>
        <v>0.29371364259674843</v>
      </c>
      <c r="L20" s="4">
        <v>46128</v>
      </c>
      <c r="M20" s="9">
        <f t="shared" si="4"/>
        <v>11191.66</v>
      </c>
      <c r="N20" s="46">
        <v>5500</v>
      </c>
      <c r="O20" s="10" t="s">
        <v>94</v>
      </c>
      <c r="P20" s="9">
        <v>8418.15</v>
      </c>
      <c r="Q20" s="9">
        <f>+Q19+Tabla1[[#This Row],[Columna15]]</f>
        <v>105421.09</v>
      </c>
      <c r="R20" s="9">
        <f>+R19+Tabla1[[#This Row],[Columna13]]-Tabla1[[#This Row],[Columna15]]</f>
        <v>8273.51</v>
      </c>
      <c r="S20" s="9"/>
      <c r="T20" s="9">
        <v>8160.4</v>
      </c>
      <c r="U20" s="9">
        <f t="shared" si="5"/>
        <v>113.11000000000058</v>
      </c>
      <c r="V20" s="7">
        <f t="shared" si="1"/>
        <v>0.10729352162835784</v>
      </c>
      <c r="W20" s="8">
        <v>17</v>
      </c>
      <c r="X20" s="5" t="e">
        <f t="shared" si="7"/>
        <v>#REF!</v>
      </c>
      <c r="Y20" s="5" t="e">
        <v>#REF!</v>
      </c>
      <c r="Z20" s="6" t="e">
        <v>#REF!</v>
      </c>
      <c r="AA20" s="6" t="e">
        <f t="shared" si="8"/>
        <v>#REF!</v>
      </c>
      <c r="AB20" s="6" t="e">
        <f t="shared" si="9"/>
        <v>#REF!</v>
      </c>
      <c r="AC20" s="5" t="e">
        <f>+#REF!</f>
        <v>#REF!</v>
      </c>
      <c r="AD20" s="6" t="e">
        <f t="shared" si="10"/>
        <v>#REF!</v>
      </c>
      <c r="AE20" s="7" t="e">
        <f t="shared" si="6"/>
        <v>#REF!</v>
      </c>
    </row>
    <row r="21" spans="1:31">
      <c r="A21" s="15">
        <v>46129</v>
      </c>
      <c r="B21" s="9">
        <f t="shared" si="2"/>
        <v>2938.0249999999996</v>
      </c>
      <c r="C21" s="9">
        <v>3600</v>
      </c>
      <c r="D21" s="10" t="s">
        <v>95</v>
      </c>
      <c r="E21" s="9">
        <v>1088.3889999999999</v>
      </c>
      <c r="F21" s="9">
        <f>+F20+Tabla1[[#This Row],[Columna5]]</f>
        <v>22546.364000000001</v>
      </c>
      <c r="G21" s="9">
        <f>+G20+Tabla1[[#This Row],[Columna3]]-Tabla1[[#This Row],[Columna5]]</f>
        <v>5449.6359999999995</v>
      </c>
      <c r="H21" s="9"/>
      <c r="I21" s="11">
        <v>5343</v>
      </c>
      <c r="J21" s="9">
        <f t="shared" si="0"/>
        <v>106.63599999999951</v>
      </c>
      <c r="K21" s="6">
        <f t="shared" si="3"/>
        <v>0.47296317934013443</v>
      </c>
      <c r="L21" s="4">
        <v>46129</v>
      </c>
      <c r="M21" s="9">
        <f t="shared" si="4"/>
        <v>8273.51</v>
      </c>
      <c r="N21" s="46">
        <v>7400</v>
      </c>
      <c r="O21" s="10" t="s">
        <v>95</v>
      </c>
      <c r="P21" s="9">
        <v>7922.125</v>
      </c>
      <c r="Q21" s="9">
        <f>+Q20+Tabla1[[#This Row],[Columna15]]</f>
        <v>113343.215</v>
      </c>
      <c r="R21" s="9">
        <f>+R20+Tabla1[[#This Row],[Columna13]]-Tabla1[[#This Row],[Columna15]]</f>
        <v>7751.3850000000002</v>
      </c>
      <c r="S21" s="9"/>
      <c r="T21" s="9">
        <v>7592.2</v>
      </c>
      <c r="U21" s="9">
        <f t="shared" si="5"/>
        <v>159.1850000000004</v>
      </c>
      <c r="V21" s="7">
        <f t="shared" si="1"/>
        <v>0.14044510736703597</v>
      </c>
      <c r="W21" s="8">
        <v>18</v>
      </c>
      <c r="X21" s="5" t="e">
        <f t="shared" si="7"/>
        <v>#REF!</v>
      </c>
      <c r="Y21" s="5" t="e">
        <v>#REF!</v>
      </c>
      <c r="Z21" s="6" t="e">
        <v>#REF!</v>
      </c>
      <c r="AA21" s="6" t="e">
        <f t="shared" si="8"/>
        <v>#REF!</v>
      </c>
      <c r="AB21" s="6" t="e">
        <f t="shared" si="9"/>
        <v>#REF!</v>
      </c>
      <c r="AC21" s="5" t="e">
        <f>+#REF!</f>
        <v>#REF!</v>
      </c>
      <c r="AD21" s="6" t="e">
        <f t="shared" si="10"/>
        <v>#REF!</v>
      </c>
      <c r="AE21" s="7" t="e">
        <f t="shared" si="6"/>
        <v>#REF!</v>
      </c>
    </row>
    <row r="22" spans="1:31">
      <c r="A22" s="15">
        <v>46130</v>
      </c>
      <c r="B22" s="9">
        <f t="shared" si="2"/>
        <v>5449.6359999999995</v>
      </c>
      <c r="C22" s="9">
        <v>1500</v>
      </c>
      <c r="D22" s="10" t="s">
        <v>96</v>
      </c>
      <c r="E22" s="9">
        <v>1262.7739999999999</v>
      </c>
      <c r="F22" s="9">
        <f>+F21+Tabla1[[#This Row],[Columna5]]</f>
        <v>23809.138000000003</v>
      </c>
      <c r="G22" s="9">
        <f>+G21+Tabla1[[#This Row],[Columna3]]-Tabla1[[#This Row],[Columna5]]</f>
        <v>5686.8619999999992</v>
      </c>
      <c r="H22" s="9"/>
      <c r="I22" s="11">
        <v>5578</v>
      </c>
      <c r="J22" s="9">
        <f t="shared" si="0"/>
        <v>108.86199999999917</v>
      </c>
      <c r="K22" s="6">
        <f t="shared" si="3"/>
        <v>0.45722780891941217</v>
      </c>
      <c r="L22" s="4">
        <v>46130</v>
      </c>
      <c r="M22" s="9">
        <f t="shared" si="4"/>
        <v>7751.3850000000002</v>
      </c>
      <c r="N22" s="46">
        <f>4000+5500</f>
        <v>9500</v>
      </c>
      <c r="O22" s="10" t="s">
        <v>97</v>
      </c>
      <c r="P22" s="9">
        <v>6911.0590000000002</v>
      </c>
      <c r="Q22" s="9">
        <f>+Q21+Tabla1[[#This Row],[Columna15]]</f>
        <v>120254.27399999999</v>
      </c>
      <c r="R22" s="9">
        <f>+R21+Tabla1[[#This Row],[Columna13]]-Tabla1[[#This Row],[Columna15]]</f>
        <v>10340.326000000001</v>
      </c>
      <c r="S22" s="9"/>
      <c r="T22" s="9">
        <v>10120.200000000001</v>
      </c>
      <c r="U22" s="9">
        <f t="shared" si="5"/>
        <v>220.1260000000002</v>
      </c>
      <c r="V22" s="7">
        <f t="shared" si="1"/>
        <v>0.183050458564159</v>
      </c>
      <c r="W22" s="8">
        <v>19</v>
      </c>
      <c r="X22" s="5" t="e">
        <f t="shared" si="7"/>
        <v>#REF!</v>
      </c>
      <c r="Y22" s="5" t="e">
        <v>#REF!</v>
      </c>
      <c r="Z22" s="6" t="e">
        <v>#REF!</v>
      </c>
      <c r="AA22" s="6" t="e">
        <f t="shared" si="8"/>
        <v>#REF!</v>
      </c>
      <c r="AB22" s="6" t="e">
        <f t="shared" si="9"/>
        <v>#REF!</v>
      </c>
      <c r="AC22" s="5" t="e">
        <f>+#REF!</f>
        <v>#REF!</v>
      </c>
      <c r="AD22" s="6" t="e">
        <f t="shared" si="10"/>
        <v>#REF!</v>
      </c>
      <c r="AE22" s="7" t="e">
        <f t="shared" si="6"/>
        <v>#REF!</v>
      </c>
    </row>
    <row r="23" spans="1:31">
      <c r="A23" s="15">
        <v>46131</v>
      </c>
      <c r="B23" s="9">
        <f t="shared" si="2"/>
        <v>5686.8619999999992</v>
      </c>
      <c r="C23" s="9">
        <v>0</v>
      </c>
      <c r="D23" s="10"/>
      <c r="E23" s="9">
        <v>813.56100000000004</v>
      </c>
      <c r="F23" s="9">
        <f>+F22+Tabla1[[#This Row],[Columna5]]</f>
        <v>24622.699000000004</v>
      </c>
      <c r="G23" s="9">
        <f>+G22+Tabla1[[#This Row],[Columna3]]-Tabla1[[#This Row],[Columna5]]</f>
        <v>4873.3009999999995</v>
      </c>
      <c r="H23" s="9"/>
      <c r="I23" s="11">
        <v>4777</v>
      </c>
      <c r="J23" s="9">
        <f t="shared" si="0"/>
        <v>96.300999999999476</v>
      </c>
      <c r="K23" s="6">
        <f t="shared" si="3"/>
        <v>0.3911065963970865</v>
      </c>
      <c r="L23" s="4">
        <v>46131</v>
      </c>
      <c r="M23" s="9">
        <f t="shared" si="4"/>
        <v>10340.326000000001</v>
      </c>
      <c r="N23" s="46">
        <v>0</v>
      </c>
      <c r="O23" s="10"/>
      <c r="P23" s="9">
        <v>3336.2109999999998</v>
      </c>
      <c r="Q23" s="9">
        <f>+Q22+Tabla1[[#This Row],[Columna15]]</f>
        <v>123590.48499999999</v>
      </c>
      <c r="R23" s="9">
        <f>+R22+Tabla1[[#This Row],[Columna13]]-Tabla1[[#This Row],[Columna15]]</f>
        <v>7004.1150000000016</v>
      </c>
      <c r="S23" s="9"/>
      <c r="T23" s="9">
        <v>6853.8</v>
      </c>
      <c r="U23" s="9">
        <f t="shared" si="5"/>
        <v>150.31500000000142</v>
      </c>
      <c r="V23" s="7">
        <f t="shared" si="1"/>
        <v>0.12162344051000482</v>
      </c>
      <c r="W23" s="8">
        <v>20</v>
      </c>
      <c r="X23" s="5" t="e">
        <f t="shared" si="7"/>
        <v>#REF!</v>
      </c>
      <c r="Y23" s="5" t="e">
        <v>#REF!</v>
      </c>
      <c r="Z23" s="6" t="e">
        <v>#REF!</v>
      </c>
      <c r="AA23" s="6" t="e">
        <f t="shared" si="8"/>
        <v>#REF!</v>
      </c>
      <c r="AB23" s="6" t="e">
        <f t="shared" si="9"/>
        <v>#REF!</v>
      </c>
      <c r="AC23" s="5" t="e">
        <f>+#REF!</f>
        <v>#REF!</v>
      </c>
      <c r="AD23" s="6" t="e">
        <f t="shared" si="10"/>
        <v>#REF!</v>
      </c>
      <c r="AE23" s="7" t="e">
        <f t="shared" si="6"/>
        <v>#REF!</v>
      </c>
    </row>
    <row r="24" spans="1:31">
      <c r="A24" s="15">
        <v>46132</v>
      </c>
      <c r="B24" s="9">
        <f t="shared" si="2"/>
        <v>4873.3009999999995</v>
      </c>
      <c r="C24" s="46">
        <v>0</v>
      </c>
      <c r="D24" s="10"/>
      <c r="E24" s="9">
        <v>1033.221</v>
      </c>
      <c r="F24" s="9">
        <f>+F23+Tabla1[[#This Row],[Columna5]]</f>
        <v>25655.920000000006</v>
      </c>
      <c r="G24" s="9">
        <f>+G23+Tabla1[[#This Row],[Columna3]]-Tabla1[[#This Row],[Columna5]]</f>
        <v>3840.0799999999995</v>
      </c>
      <c r="H24" s="9"/>
      <c r="I24" s="11">
        <v>3766</v>
      </c>
      <c r="J24" s="9">
        <f t="shared" si="0"/>
        <v>74.079999999999472</v>
      </c>
      <c r="K24" s="6">
        <f t="shared" si="3"/>
        <v>0.28874427422598548</v>
      </c>
      <c r="L24" s="4">
        <v>46132</v>
      </c>
      <c r="M24" s="9">
        <f t="shared" si="4"/>
        <v>7004.1150000000016</v>
      </c>
      <c r="N24" s="46">
        <v>5500</v>
      </c>
      <c r="O24" s="10" t="s">
        <v>98</v>
      </c>
      <c r="P24" s="9">
        <v>7597.152</v>
      </c>
      <c r="Q24" s="9">
        <f>+Q23+Tabla1[[#This Row],[Columna15]]</f>
        <v>131187.63699999999</v>
      </c>
      <c r="R24" s="9">
        <f>+R23+Tabla1[[#This Row],[Columna13]]-Tabla1[[#This Row],[Columna15]]</f>
        <v>4906.9630000000016</v>
      </c>
      <c r="S24" s="9"/>
      <c r="T24" s="9">
        <v>4794.8</v>
      </c>
      <c r="U24" s="9">
        <f t="shared" si="5"/>
        <v>112.16300000000138</v>
      </c>
      <c r="V24" s="7">
        <f t="shared" si="1"/>
        <v>8.5498147969538765E-2</v>
      </c>
      <c r="W24" s="8">
        <v>21</v>
      </c>
      <c r="X24" s="5" t="e">
        <f t="shared" si="7"/>
        <v>#REF!</v>
      </c>
      <c r="Y24" s="5" t="e">
        <v>#REF!</v>
      </c>
      <c r="Z24" s="6" t="e">
        <v>#REF!</v>
      </c>
      <c r="AA24" s="6" t="e">
        <f t="shared" si="8"/>
        <v>#REF!</v>
      </c>
      <c r="AB24" s="6" t="e">
        <f t="shared" si="9"/>
        <v>#REF!</v>
      </c>
      <c r="AC24" s="5" t="e">
        <f>+#REF!</f>
        <v>#REF!</v>
      </c>
      <c r="AD24" s="6" t="e">
        <f t="shared" si="10"/>
        <v>#REF!</v>
      </c>
      <c r="AE24" s="7" t="e">
        <f t="shared" si="6"/>
        <v>#REF!</v>
      </c>
    </row>
    <row r="25" spans="1:31">
      <c r="A25" s="15">
        <v>46133</v>
      </c>
      <c r="B25" s="9">
        <f t="shared" si="2"/>
        <v>3840.0799999999995</v>
      </c>
      <c r="C25" s="9">
        <v>3600</v>
      </c>
      <c r="D25" s="10" t="s">
        <v>100</v>
      </c>
      <c r="E25" s="9">
        <v>1204.9880000000001</v>
      </c>
      <c r="F25" s="9">
        <f>+F24+Tabla1[[#This Row],[Columna5]]</f>
        <v>26860.908000000007</v>
      </c>
      <c r="G25" s="9">
        <f>+G24+Tabla1[[#This Row],[Columna3]]-Tabla1[[#This Row],[Columna5]]</f>
        <v>6235.0919999999996</v>
      </c>
      <c r="H25" s="9"/>
      <c r="I25" s="11">
        <v>6121.8</v>
      </c>
      <c r="J25" s="9">
        <f t="shared" si="0"/>
        <v>113.29199999999946</v>
      </c>
      <c r="K25" s="6">
        <f t="shared" si="3"/>
        <v>0.42177278593858197</v>
      </c>
      <c r="L25" s="4">
        <v>46133</v>
      </c>
      <c r="M25" s="9">
        <f t="shared" si="4"/>
        <v>4906.9630000000016</v>
      </c>
      <c r="N25" s="46">
        <f>5035+7400</f>
        <v>12435</v>
      </c>
      <c r="O25" s="10" t="s">
        <v>99</v>
      </c>
      <c r="P25" s="9">
        <v>9524.4240000000009</v>
      </c>
      <c r="Q25" s="9">
        <f>+Q24+Tabla1[[#This Row],[Columna15]]</f>
        <v>140712.06099999999</v>
      </c>
      <c r="R25" s="9">
        <f>+R24+Tabla1[[#This Row],[Columna13]]-Tabla1[[#This Row],[Columna15]]</f>
        <v>7817.5390000000025</v>
      </c>
      <c r="S25" s="9"/>
      <c r="T25" s="9">
        <v>7645</v>
      </c>
      <c r="U25" s="9">
        <f t="shared" si="5"/>
        <v>172.53900000000249</v>
      </c>
      <c r="V25" s="7">
        <f t="shared" si="1"/>
        <v>0.12261848684030185</v>
      </c>
      <c r="W25" s="8">
        <v>22</v>
      </c>
      <c r="X25" s="5" t="e">
        <f t="shared" si="7"/>
        <v>#REF!</v>
      </c>
      <c r="Y25" s="5" t="e">
        <v>#REF!</v>
      </c>
      <c r="Z25" s="6" t="e">
        <v>#REF!</v>
      </c>
      <c r="AA25" s="6" t="e">
        <f t="shared" si="8"/>
        <v>#REF!</v>
      </c>
      <c r="AB25" s="6" t="e">
        <f t="shared" si="9"/>
        <v>#REF!</v>
      </c>
      <c r="AC25" s="5" t="e">
        <f>+#REF!</f>
        <v>#REF!</v>
      </c>
      <c r="AD25" s="6" t="e">
        <f t="shared" si="10"/>
        <v>#REF!</v>
      </c>
      <c r="AE25" s="7" t="e">
        <f t="shared" si="6"/>
        <v>#REF!</v>
      </c>
    </row>
    <row r="26" spans="1:31">
      <c r="A26" s="15">
        <v>46134</v>
      </c>
      <c r="B26" s="9">
        <f t="shared" si="2"/>
        <v>6235.0919999999996</v>
      </c>
      <c r="C26" s="9">
        <v>3000</v>
      </c>
      <c r="D26" s="10" t="s">
        <v>101</v>
      </c>
      <c r="E26" s="9">
        <v>1482.6669999999999</v>
      </c>
      <c r="F26" s="9">
        <f>+F25+Tabla1[[#This Row],[Columna5]]</f>
        <v>28343.575000000008</v>
      </c>
      <c r="G26" s="9">
        <f>+G25+Tabla1[[#This Row],[Columna3]]-Tabla1[[#This Row],[Columna5]]</f>
        <v>7752.4250000000011</v>
      </c>
      <c r="H26" s="9"/>
      <c r="I26" s="11">
        <v>7656.4</v>
      </c>
      <c r="J26" s="9">
        <f t="shared" si="0"/>
        <v>96.025000000001455</v>
      </c>
      <c r="K26" s="6">
        <f t="shared" si="3"/>
        <v>0.33878930233748361</v>
      </c>
      <c r="L26" s="4">
        <v>46134</v>
      </c>
      <c r="M26" s="9">
        <f t="shared" si="4"/>
        <v>7817.5390000000025</v>
      </c>
      <c r="N26" s="46">
        <v>8100</v>
      </c>
      <c r="O26" s="10" t="s">
        <v>101</v>
      </c>
      <c r="P26" s="9">
        <v>10541.044</v>
      </c>
      <c r="Q26" s="9">
        <f>+Q25+Tabla1[[#This Row],[Columna15]]</f>
        <v>151253.10499999998</v>
      </c>
      <c r="R26" s="9">
        <f>+R25+Tabla1[[#This Row],[Columna13]]-Tabla1[[#This Row],[Columna15]]</f>
        <v>5376.4950000000026</v>
      </c>
      <c r="S26" s="9"/>
      <c r="T26" s="9">
        <v>5288.2</v>
      </c>
      <c r="U26" s="9">
        <f t="shared" si="5"/>
        <v>88.295000000002801</v>
      </c>
      <c r="V26" s="7">
        <f t="shared" si="1"/>
        <v>5.8375661114529055E-2</v>
      </c>
      <c r="W26" s="8">
        <v>23</v>
      </c>
      <c r="X26" s="5" t="e">
        <f t="shared" si="7"/>
        <v>#REF!</v>
      </c>
      <c r="Y26" s="5" t="e">
        <v>#REF!</v>
      </c>
      <c r="Z26" s="6" t="e">
        <v>#REF!</v>
      </c>
      <c r="AA26" s="6" t="e">
        <f t="shared" si="8"/>
        <v>#REF!</v>
      </c>
      <c r="AB26" s="6" t="e">
        <f t="shared" si="9"/>
        <v>#REF!</v>
      </c>
      <c r="AC26" s="5" t="e">
        <f>+#REF!</f>
        <v>#REF!</v>
      </c>
      <c r="AD26" s="6" t="e">
        <f t="shared" si="10"/>
        <v>#REF!</v>
      </c>
      <c r="AE26" s="7" t="e">
        <f t="shared" si="6"/>
        <v>#REF!</v>
      </c>
    </row>
    <row r="27" spans="1:31">
      <c r="A27" s="15">
        <v>46135</v>
      </c>
      <c r="B27" s="9">
        <f t="shared" si="2"/>
        <v>7752.4250000000011</v>
      </c>
      <c r="C27" s="9">
        <v>0</v>
      </c>
      <c r="D27" s="10"/>
      <c r="E27" s="9">
        <v>940.42499999999995</v>
      </c>
      <c r="F27" s="9">
        <f>+F26+Tabla1[[#This Row],[Columna5]]</f>
        <v>29284.000000000007</v>
      </c>
      <c r="G27" s="9">
        <f>+G26+Tabla1[[#This Row],[Columna3]]-Tabla1[[#This Row],[Columna5]]</f>
        <v>6812.0000000000009</v>
      </c>
      <c r="H27" s="9"/>
      <c r="I27" s="11">
        <v>6739.8</v>
      </c>
      <c r="J27" s="9">
        <f t="shared" si="0"/>
        <v>72.200000000000728</v>
      </c>
      <c r="K27" s="6">
        <f t="shared" si="3"/>
        <v>0.24655101762054604</v>
      </c>
      <c r="L27" s="4">
        <v>46135</v>
      </c>
      <c r="M27" s="9">
        <f t="shared" si="4"/>
        <v>5376.4950000000026</v>
      </c>
      <c r="N27" s="46">
        <f>5500+11000</f>
        <v>16500</v>
      </c>
      <c r="O27" s="10" t="s">
        <v>102</v>
      </c>
      <c r="P27" s="9">
        <v>7739.43</v>
      </c>
      <c r="Q27" s="9">
        <f>+Q26+Tabla1[[#This Row],[Columna15]]</f>
        <v>158992.53499999997</v>
      </c>
      <c r="R27" s="9">
        <f>+R26+Tabla1[[#This Row],[Columna13]]-Tabla1[[#This Row],[Columna15]]</f>
        <v>14137.065000000002</v>
      </c>
      <c r="S27" s="9"/>
      <c r="T27" s="9">
        <v>3063</v>
      </c>
      <c r="U27" s="9">
        <f t="shared" si="5"/>
        <v>11074.065000000002</v>
      </c>
      <c r="V27" s="7">
        <f t="shared" si="1"/>
        <v>6.9651477662143098</v>
      </c>
      <c r="W27" s="8">
        <v>24</v>
      </c>
      <c r="X27" s="5" t="e">
        <f t="shared" si="7"/>
        <v>#REF!</v>
      </c>
      <c r="Y27" s="5" t="e">
        <v>#REF!</v>
      </c>
      <c r="Z27" s="6" t="e">
        <v>#REF!</v>
      </c>
      <c r="AA27" s="6" t="e">
        <f t="shared" si="8"/>
        <v>#REF!</v>
      </c>
      <c r="AB27" s="6" t="e">
        <f t="shared" si="9"/>
        <v>#REF!</v>
      </c>
      <c r="AC27" s="5" t="e">
        <f>+#REF!</f>
        <v>#REF!</v>
      </c>
      <c r="AD27" s="6" t="e">
        <f t="shared" si="10"/>
        <v>#REF!</v>
      </c>
      <c r="AE27" s="7" t="e">
        <f t="shared" si="6"/>
        <v>#REF!</v>
      </c>
    </row>
    <row r="28" spans="1:31">
      <c r="A28" s="15">
        <v>46136</v>
      </c>
      <c r="B28" s="9">
        <f t="shared" si="2"/>
        <v>6812.0000000000009</v>
      </c>
      <c r="C28" s="46">
        <v>0</v>
      </c>
      <c r="D28" s="10"/>
      <c r="E28" s="9">
        <v>1311.712</v>
      </c>
      <c r="F28" s="9">
        <f>+F27+Tabla1[[#This Row],[Columna5]]</f>
        <v>30595.712000000007</v>
      </c>
      <c r="G28" s="9">
        <f>+G27+Tabla1[[#This Row],[Columna3]]-Tabla1[[#This Row],[Columna5]]</f>
        <v>5500.2880000000005</v>
      </c>
      <c r="H28" s="9"/>
      <c r="I28" s="11">
        <v>5437.2</v>
      </c>
      <c r="J28" s="9">
        <f t="shared" si="0"/>
        <v>63.088000000000648</v>
      </c>
      <c r="K28" s="6">
        <f t="shared" si="3"/>
        <v>0.20619882943074061</v>
      </c>
      <c r="L28" s="4">
        <v>46136</v>
      </c>
      <c r="M28" s="9">
        <f t="shared" si="4"/>
        <v>14137.065000000002</v>
      </c>
      <c r="N28" s="46">
        <v>5500</v>
      </c>
      <c r="O28" s="10" t="s">
        <v>103</v>
      </c>
      <c r="P28" s="9">
        <v>7592.26</v>
      </c>
      <c r="Q28" s="9">
        <f>+Q27+Tabla1[[#This Row],[Columna15]]</f>
        <v>166584.79499999998</v>
      </c>
      <c r="R28" s="9">
        <f>+R27+Tabla1[[#This Row],[Columna13]]-Tabla1[[#This Row],[Columna15]]</f>
        <v>12044.805000000002</v>
      </c>
      <c r="S28" s="9"/>
      <c r="T28" s="9">
        <v>6457.6</v>
      </c>
      <c r="U28" s="9">
        <f t="shared" si="5"/>
        <v>5587.2050000000017</v>
      </c>
      <c r="V28" s="7">
        <f t="shared" si="1"/>
        <v>3.3539705709635754</v>
      </c>
      <c r="W28" s="8">
        <v>25</v>
      </c>
      <c r="X28" s="5" t="e">
        <f t="shared" si="7"/>
        <v>#REF!</v>
      </c>
      <c r="Y28" s="5" t="e">
        <v>#REF!</v>
      </c>
      <c r="Z28" s="6" t="e">
        <v>#REF!</v>
      </c>
      <c r="AA28" s="6" t="e">
        <f t="shared" si="8"/>
        <v>#REF!</v>
      </c>
      <c r="AB28" s="6" t="e">
        <f t="shared" si="9"/>
        <v>#REF!</v>
      </c>
      <c r="AC28" s="5" t="e">
        <f>+#REF!</f>
        <v>#REF!</v>
      </c>
      <c r="AD28" s="6" t="e">
        <f t="shared" si="10"/>
        <v>#REF!</v>
      </c>
      <c r="AE28" s="7" t="e">
        <f t="shared" si="6"/>
        <v>#REF!</v>
      </c>
    </row>
    <row r="29" spans="1:31">
      <c r="A29" s="15">
        <v>46137</v>
      </c>
      <c r="B29" s="9">
        <f t="shared" si="2"/>
        <v>5500.2880000000005</v>
      </c>
      <c r="C29" s="9">
        <v>0</v>
      </c>
      <c r="D29" s="10"/>
      <c r="E29" s="9">
        <v>1314.425</v>
      </c>
      <c r="F29" s="9">
        <f>+F28+Tabla1[[#This Row],[Columna5]]</f>
        <v>31910.137000000006</v>
      </c>
      <c r="G29" s="9">
        <f>+G28+Tabla1[[#This Row],[Columna3]]-Tabla1[[#This Row],[Columna5]]</f>
        <v>4185.8630000000003</v>
      </c>
      <c r="H29" s="9"/>
      <c r="I29" s="11">
        <v>4140.2</v>
      </c>
      <c r="J29" s="9">
        <f t="shared" si="0"/>
        <v>45.663000000000466</v>
      </c>
      <c r="K29" s="6">
        <f t="shared" si="3"/>
        <v>0.14309872752975161</v>
      </c>
      <c r="L29" s="4">
        <v>46137</v>
      </c>
      <c r="M29" s="9">
        <f t="shared" si="4"/>
        <v>12044.805000000002</v>
      </c>
      <c r="N29" s="46">
        <v>5500</v>
      </c>
      <c r="O29" s="10" t="s">
        <v>104</v>
      </c>
      <c r="P29" s="9">
        <v>6553.7150000000001</v>
      </c>
      <c r="Q29" s="9">
        <f>+Q28+Tabla1[[#This Row],[Columna15]]</f>
        <v>173138.50999999998</v>
      </c>
      <c r="R29" s="9">
        <f>+R28+Tabla1[[#This Row],[Columna13]]-Tabla1[[#This Row],[Columna15]]</f>
        <v>10991.09</v>
      </c>
      <c r="S29" s="9"/>
      <c r="T29" s="9">
        <v>5397</v>
      </c>
      <c r="U29" s="9">
        <f t="shared" si="5"/>
        <v>5594.09</v>
      </c>
      <c r="V29" s="7">
        <f t="shared" si="1"/>
        <v>3.2309911873447459</v>
      </c>
      <c r="W29" s="8">
        <v>26</v>
      </c>
      <c r="X29" s="5" t="e">
        <f t="shared" si="7"/>
        <v>#REF!</v>
      </c>
      <c r="Y29" s="5" t="e">
        <v>#REF!</v>
      </c>
      <c r="Z29" s="6" t="e">
        <v>#REF!</v>
      </c>
      <c r="AA29" s="6" t="e">
        <f t="shared" si="8"/>
        <v>#REF!</v>
      </c>
      <c r="AB29" s="6" t="e">
        <f t="shared" si="9"/>
        <v>#REF!</v>
      </c>
      <c r="AC29" s="5" t="e">
        <f>+#REF!</f>
        <v>#REF!</v>
      </c>
      <c r="AD29" s="6" t="e">
        <f t="shared" si="10"/>
        <v>#REF!</v>
      </c>
      <c r="AE29" s="7" t="e">
        <f t="shared" si="6"/>
        <v>#REF!</v>
      </c>
    </row>
    <row r="30" spans="1:31">
      <c r="A30" s="15">
        <v>46138</v>
      </c>
      <c r="B30" s="9">
        <f t="shared" si="2"/>
        <v>4185.8630000000003</v>
      </c>
      <c r="C30" s="9">
        <v>0</v>
      </c>
      <c r="D30" s="10"/>
      <c r="E30" s="9">
        <v>1110.8230000000001</v>
      </c>
      <c r="F30" s="9">
        <f>+F29+Tabla1[[#This Row],[Columna5]]</f>
        <v>33020.960000000006</v>
      </c>
      <c r="G30" s="9">
        <f>+G29+Tabla1[[#This Row],[Columna3]]-Tabla1[[#This Row],[Columna5]]</f>
        <v>3075.04</v>
      </c>
      <c r="H30" s="9"/>
      <c r="I30" s="9">
        <v>3058</v>
      </c>
      <c r="J30" s="9">
        <f t="shared" si="0"/>
        <v>17.039999999999964</v>
      </c>
      <c r="K30" s="6">
        <f t="shared" si="3"/>
        <v>5.1603587539550522E-2</v>
      </c>
      <c r="L30" s="4">
        <v>46138</v>
      </c>
      <c r="M30" s="9">
        <f t="shared" si="4"/>
        <v>10991.09</v>
      </c>
      <c r="N30" s="46">
        <v>0</v>
      </c>
      <c r="O30" s="10"/>
      <c r="P30" s="9">
        <v>4243.8159999999998</v>
      </c>
      <c r="Q30" s="9">
        <f>+Q29+Tabla1[[#This Row],[Columna15]]</f>
        <v>177382.32599999997</v>
      </c>
      <c r="R30" s="9">
        <f>+R29+Tabla1[[#This Row],[Columna13]]-Tabla1[[#This Row],[Columna15]]</f>
        <v>6747.2740000000003</v>
      </c>
      <c r="S30" s="9"/>
      <c r="T30" s="9">
        <v>6592.6</v>
      </c>
      <c r="U30" s="9">
        <f t="shared" si="5"/>
        <v>154.67399999999998</v>
      </c>
      <c r="V30" s="7">
        <f t="shared" si="1"/>
        <v>8.7198089848026905E-2</v>
      </c>
      <c r="W30" s="8">
        <v>27</v>
      </c>
      <c r="X30" s="5" t="e">
        <f t="shared" si="7"/>
        <v>#REF!</v>
      </c>
      <c r="Y30" s="5" t="e">
        <v>#REF!</v>
      </c>
      <c r="Z30" s="6" t="e">
        <v>#REF!</v>
      </c>
      <c r="AA30" s="6" t="e">
        <f t="shared" si="8"/>
        <v>#REF!</v>
      </c>
      <c r="AB30" s="6" t="e">
        <f t="shared" si="9"/>
        <v>#REF!</v>
      </c>
      <c r="AC30" s="5" t="e">
        <f>+#REF!</f>
        <v>#REF!</v>
      </c>
      <c r="AD30" s="6" t="e">
        <f t="shared" si="10"/>
        <v>#REF!</v>
      </c>
      <c r="AE30" s="7" t="e">
        <f t="shared" si="6"/>
        <v>#REF!</v>
      </c>
    </row>
    <row r="31" spans="1:31">
      <c r="A31" s="15">
        <v>46139</v>
      </c>
      <c r="B31" s="9">
        <f t="shared" si="2"/>
        <v>3075.04</v>
      </c>
      <c r="C31" s="9">
        <v>3000</v>
      </c>
      <c r="D31" s="10" t="s">
        <v>105</v>
      </c>
      <c r="E31" s="9">
        <v>1076.328</v>
      </c>
      <c r="F31" s="9">
        <f>+F30+Tabla1[[#This Row],[Columna5]]</f>
        <v>34097.288000000008</v>
      </c>
      <c r="G31" s="9">
        <f>+G30+Tabla1[[#This Row],[Columna3]]-Tabla1[[#This Row],[Columna5]]</f>
        <v>4998.7119999999995</v>
      </c>
      <c r="H31" s="9"/>
      <c r="I31" s="9">
        <v>4943</v>
      </c>
      <c r="J31" s="9">
        <f t="shared" si="0"/>
        <v>55.711999999999534</v>
      </c>
      <c r="K31" s="6">
        <f t="shared" si="3"/>
        <v>0.16339129375919728</v>
      </c>
      <c r="L31" s="4">
        <v>46139</v>
      </c>
      <c r="M31" s="9">
        <f t="shared" si="4"/>
        <v>6747.2740000000003</v>
      </c>
      <c r="N31" s="46">
        <v>8100</v>
      </c>
      <c r="O31" s="10" t="s">
        <v>105</v>
      </c>
      <c r="P31" s="9">
        <v>9139.7219999999998</v>
      </c>
      <c r="Q31" s="9">
        <f>+Q30+Tabla1[[#This Row],[Columna15]]</f>
        <v>186522.04799999998</v>
      </c>
      <c r="R31" s="9">
        <f>+R30+Tabla1[[#This Row],[Columna13]]-Tabla1[[#This Row],[Columna15]]</f>
        <v>5707.5520000000015</v>
      </c>
      <c r="S31" s="9"/>
      <c r="T31" s="9">
        <v>5586.4</v>
      </c>
      <c r="U31" s="9">
        <f t="shared" si="5"/>
        <v>121.15200000000186</v>
      </c>
      <c r="V31" s="7">
        <f t="shared" si="1"/>
        <v>6.495317915445678E-2</v>
      </c>
      <c r="W31" s="8">
        <v>28</v>
      </c>
      <c r="X31" s="5" t="e">
        <f t="shared" si="7"/>
        <v>#REF!</v>
      </c>
      <c r="Y31" s="5" t="e">
        <v>#REF!</v>
      </c>
      <c r="Z31" s="6" t="e">
        <v>#REF!</v>
      </c>
      <c r="AA31" s="6" t="e">
        <f t="shared" si="8"/>
        <v>#REF!</v>
      </c>
      <c r="AB31" s="6" t="e">
        <f t="shared" si="9"/>
        <v>#REF!</v>
      </c>
      <c r="AC31" s="5" t="e">
        <f>+#REF!</f>
        <v>#REF!</v>
      </c>
      <c r="AD31" s="6" t="e">
        <f t="shared" si="10"/>
        <v>#REF!</v>
      </c>
      <c r="AE31" s="7" t="e">
        <f t="shared" si="6"/>
        <v>#REF!</v>
      </c>
    </row>
    <row r="32" spans="1:31">
      <c r="A32" s="15">
        <v>46140</v>
      </c>
      <c r="B32" s="9">
        <f t="shared" si="2"/>
        <v>4998.7119999999995</v>
      </c>
      <c r="C32" s="9">
        <v>0</v>
      </c>
      <c r="D32" s="10"/>
      <c r="E32" s="9">
        <v>865.66800000000001</v>
      </c>
      <c r="F32" s="9">
        <f>+F31+Tabla1[[#This Row],[Columna5]]</f>
        <v>34962.956000000006</v>
      </c>
      <c r="G32" s="9">
        <f>+G31+Tabla1[[#This Row],[Columna3]]-Tabla1[[#This Row],[Columna5]]</f>
        <v>4133.0439999999999</v>
      </c>
      <c r="H32" s="9"/>
      <c r="I32" s="9">
        <v>4094.6</v>
      </c>
      <c r="J32" s="9">
        <f t="shared" si="0"/>
        <v>38.44399999999996</v>
      </c>
      <c r="K32" s="6">
        <f t="shared" si="3"/>
        <v>0.10995637783029544</v>
      </c>
      <c r="L32" s="4">
        <v>46140</v>
      </c>
      <c r="M32" s="9">
        <f t="shared" si="4"/>
        <v>5707.5520000000015</v>
      </c>
      <c r="N32" s="46">
        <f>5500+5500</f>
        <v>11000</v>
      </c>
      <c r="O32" s="10" t="s">
        <v>113</v>
      </c>
      <c r="P32" s="9">
        <v>9531.5429999999997</v>
      </c>
      <c r="Q32" s="9">
        <f>+Q31+Tabla1[[#This Row],[Columna15]]</f>
        <v>196053.59099999999</v>
      </c>
      <c r="R32" s="9">
        <f>+R31+Tabla1[[#This Row],[Columna13]]-Tabla1[[#This Row],[Columna15]]</f>
        <v>7176.0090000000037</v>
      </c>
      <c r="S32" s="9"/>
      <c r="T32" s="9">
        <v>1484.8</v>
      </c>
      <c r="U32" s="9">
        <f t="shared" si="5"/>
        <v>5691.2090000000035</v>
      </c>
      <c r="V32" s="7">
        <f t="shared" si="1"/>
        <v>2.9028843445157828</v>
      </c>
      <c r="W32" s="8">
        <v>29</v>
      </c>
      <c r="X32" s="5" t="e">
        <f t="shared" si="7"/>
        <v>#REF!</v>
      </c>
      <c r="Y32" s="5" t="e">
        <v>#REF!</v>
      </c>
      <c r="Z32" s="6" t="e">
        <v>#REF!</v>
      </c>
      <c r="AA32" s="6" t="e">
        <f t="shared" si="8"/>
        <v>#REF!</v>
      </c>
      <c r="AB32" s="6" t="e">
        <f t="shared" si="9"/>
        <v>#REF!</v>
      </c>
      <c r="AC32" s="5" t="e">
        <f>+#REF!</f>
        <v>#REF!</v>
      </c>
      <c r="AD32" s="6" t="e">
        <f t="shared" si="10"/>
        <v>#REF!</v>
      </c>
      <c r="AE32" s="7" t="e">
        <f t="shared" si="6"/>
        <v>#REF!</v>
      </c>
    </row>
    <row r="33" spans="1:31">
      <c r="A33" s="15">
        <v>46141</v>
      </c>
      <c r="B33" s="9">
        <f t="shared" si="2"/>
        <v>4133.0439999999999</v>
      </c>
      <c r="C33" s="46">
        <v>0</v>
      </c>
      <c r="D33" s="10"/>
      <c r="E33" s="9">
        <v>1399.116</v>
      </c>
      <c r="F33" s="9">
        <f>+F32+Tabla1[[#This Row],[Columna5]]</f>
        <v>36362.072000000007</v>
      </c>
      <c r="G33" s="9">
        <f>+G32+Tabla1[[#This Row],[Columna3]]-Tabla1[[#This Row],[Columna5]]</f>
        <v>2733.9279999999999</v>
      </c>
      <c r="H33" s="9"/>
      <c r="I33" s="9">
        <v>2731</v>
      </c>
      <c r="J33" s="9">
        <f t="shared" si="0"/>
        <v>2.9279999999998836</v>
      </c>
      <c r="K33" s="6">
        <f t="shared" si="3"/>
        <v>8.0523464119423207E-3</v>
      </c>
      <c r="L33" s="4">
        <v>46141</v>
      </c>
      <c r="M33" s="9">
        <f t="shared" si="4"/>
        <v>7176.0090000000037</v>
      </c>
      <c r="N33" s="46">
        <v>11000</v>
      </c>
      <c r="O33" s="10" t="s">
        <v>114</v>
      </c>
      <c r="P33" s="9">
        <v>8802.1370000000006</v>
      </c>
      <c r="Q33" s="9">
        <f>+Q32+Tabla1[[#This Row],[Columna15]]</f>
        <v>204855.72799999997</v>
      </c>
      <c r="R33" s="9">
        <f>+R32+Tabla1[[#This Row],[Columna13]]-Tabla1[[#This Row],[Columna15]]</f>
        <v>9373.8720000000048</v>
      </c>
      <c r="S33" s="9"/>
      <c r="T33" s="9">
        <v>9212</v>
      </c>
      <c r="U33" s="9">
        <f t="shared" si="5"/>
        <v>161.87200000000485</v>
      </c>
      <c r="V33" s="7">
        <f t="shared" si="1"/>
        <v>7.9017561080842652E-2</v>
      </c>
      <c r="W33" s="8">
        <v>30</v>
      </c>
      <c r="X33" s="5" t="e">
        <f t="shared" si="7"/>
        <v>#REF!</v>
      </c>
      <c r="Y33" s="5" t="e">
        <v>#REF!</v>
      </c>
      <c r="Z33" s="6" t="e">
        <v>#REF!</v>
      </c>
      <c r="AA33" s="6" t="e">
        <f t="shared" si="8"/>
        <v>#REF!</v>
      </c>
      <c r="AB33" s="6" t="e">
        <f t="shared" si="9"/>
        <v>#REF!</v>
      </c>
      <c r="AC33" s="5" t="e">
        <f>+#REF!</f>
        <v>#REF!</v>
      </c>
      <c r="AD33" s="6" t="e">
        <f t="shared" si="10"/>
        <v>#REF!</v>
      </c>
      <c r="AE33" s="7" t="e">
        <f t="shared" si="6"/>
        <v>#REF!</v>
      </c>
    </row>
    <row r="34" spans="1:31">
      <c r="A34" s="15">
        <v>46142</v>
      </c>
      <c r="B34" s="9">
        <f t="shared" si="2"/>
        <v>2733.9279999999999</v>
      </c>
      <c r="C34" s="9">
        <v>0</v>
      </c>
      <c r="D34" s="10"/>
      <c r="E34" s="9">
        <v>1177.921</v>
      </c>
      <c r="F34" s="9">
        <f>+F33+Tabla1[[#This Row],[Columna5]]</f>
        <v>37539.993000000009</v>
      </c>
      <c r="G34" s="9">
        <f>+G33+Tabla1[[#This Row],[Columna3]]-Tabla1[[#This Row],[Columna5]]</f>
        <v>1556.0069999999998</v>
      </c>
      <c r="H34" s="9"/>
      <c r="I34" s="9">
        <v>1591</v>
      </c>
      <c r="J34" s="9">
        <f t="shared" si="0"/>
        <v>-34.993000000000166</v>
      </c>
      <c r="K34" s="6">
        <f t="shared" si="3"/>
        <v>-9.3215254462088351E-2</v>
      </c>
      <c r="L34" s="4">
        <v>46142</v>
      </c>
      <c r="M34" s="9">
        <f t="shared" si="4"/>
        <v>9373.8720000000048</v>
      </c>
      <c r="N34" s="46">
        <v>5500</v>
      </c>
      <c r="O34" s="10" t="s">
        <v>115</v>
      </c>
      <c r="P34" s="9">
        <v>8686.4599999999991</v>
      </c>
      <c r="Q34" s="9">
        <f>+Q33+Tabla1[[#This Row],[Columna15]]</f>
        <v>213542.18799999997</v>
      </c>
      <c r="R34" s="9">
        <f>+R33+Tabla1[[#This Row],[Columna13]]-Tabla1[[#This Row],[Columna15]]</f>
        <v>6187.4120000000057</v>
      </c>
      <c r="S34" s="9"/>
      <c r="T34" s="9">
        <v>6053.2</v>
      </c>
      <c r="U34" s="9">
        <f t="shared" si="5"/>
        <v>134.2120000000059</v>
      </c>
      <c r="V34" s="7">
        <f t="shared" si="1"/>
        <v>6.2850344120294346E-2</v>
      </c>
      <c r="W34" s="8">
        <v>31</v>
      </c>
      <c r="X34" s="5" t="e">
        <f t="shared" si="7"/>
        <v>#REF!</v>
      </c>
      <c r="Y34" s="5" t="e">
        <v>#REF!</v>
      </c>
      <c r="Z34" s="6" t="e">
        <v>#REF!</v>
      </c>
      <c r="AA34" s="6" t="e">
        <f t="shared" si="8"/>
        <v>#REF!</v>
      </c>
      <c r="AB34" s="6" t="e">
        <f t="shared" si="9"/>
        <v>#REF!</v>
      </c>
      <c r="AC34" s="5" t="e">
        <f>+#REF!</f>
        <v>#REF!</v>
      </c>
      <c r="AD34" s="6" t="e">
        <f t="shared" si="10"/>
        <v>#REF!</v>
      </c>
      <c r="AE34" s="7" t="e">
        <f t="shared" si="6"/>
        <v>#REF!</v>
      </c>
    </row>
    <row r="35" spans="1:31">
      <c r="A35" s="16"/>
      <c r="B35" s="9"/>
      <c r="C35" s="31"/>
      <c r="D35" s="31"/>
      <c r="E35" s="31"/>
      <c r="F35" s="9"/>
      <c r="G35" s="9"/>
      <c r="H35" s="9"/>
      <c r="I35" s="32"/>
      <c r="J35" s="9"/>
      <c r="K35" s="7"/>
      <c r="L35" s="34"/>
      <c r="M35" s="9"/>
      <c r="N35" s="47"/>
      <c r="O35" s="32"/>
      <c r="P35" s="32"/>
      <c r="Q35" s="9"/>
      <c r="R35" s="9"/>
      <c r="S35" s="9"/>
      <c r="T35" s="32"/>
      <c r="U35" s="9"/>
      <c r="V35" s="7"/>
      <c r="W35" s="14"/>
      <c r="X35" s="14"/>
      <c r="Y35" s="14"/>
      <c r="Z35" s="14"/>
      <c r="AA35" s="14"/>
      <c r="AB35" s="14"/>
      <c r="AC35" s="14"/>
      <c r="AD35" s="14"/>
      <c r="AE35" s="14"/>
    </row>
    <row r="36" spans="1:31">
      <c r="A36" s="35"/>
      <c r="B36" s="9"/>
      <c r="C36" s="47"/>
      <c r="D36" s="32"/>
      <c r="E36" s="32"/>
      <c r="F36" s="9"/>
      <c r="G36" s="9"/>
      <c r="H36" s="9"/>
      <c r="I36" s="32"/>
      <c r="J36" s="9"/>
      <c r="K36" s="7"/>
      <c r="L36" s="34"/>
      <c r="M36" s="9"/>
      <c r="N36" s="47"/>
      <c r="O36" s="32"/>
      <c r="P36" s="32"/>
      <c r="Q36" s="9"/>
      <c r="R36" s="9"/>
      <c r="S36" s="9"/>
      <c r="T36" s="32"/>
      <c r="U36" s="9"/>
      <c r="V36" s="7"/>
      <c r="W36" s="14"/>
      <c r="X36" s="14"/>
      <c r="Y36" s="14"/>
      <c r="Z36" s="14"/>
      <c r="AA36" s="14"/>
      <c r="AB36" s="14"/>
      <c r="AC36" s="14"/>
      <c r="AD36" s="14"/>
      <c r="AE36" s="14"/>
    </row>
    <row r="37" spans="1:31">
      <c r="A37" s="35"/>
      <c r="B37" s="9"/>
      <c r="C37" s="32"/>
      <c r="D37" s="32"/>
      <c r="E37" s="32"/>
      <c r="F37" s="9"/>
      <c r="G37" s="9"/>
      <c r="H37" s="9"/>
      <c r="I37" s="32"/>
      <c r="J37" s="9"/>
      <c r="K37" s="7"/>
      <c r="L37" s="34"/>
      <c r="M37" s="9"/>
      <c r="N37" s="47"/>
      <c r="O37" s="32"/>
      <c r="P37" s="32"/>
      <c r="Q37" s="9"/>
      <c r="R37" s="9"/>
      <c r="S37" s="9"/>
      <c r="T37" s="32"/>
      <c r="U37" s="9"/>
      <c r="V37" s="7"/>
      <c r="W37" s="14"/>
      <c r="X37" s="14"/>
      <c r="Y37" s="14"/>
      <c r="Z37" s="14"/>
      <c r="AA37" s="14"/>
      <c r="AB37" s="14"/>
      <c r="AC37" s="14"/>
      <c r="AD37" s="14"/>
      <c r="AE37" s="14"/>
    </row>
    <row r="38" spans="1:31">
      <c r="A38" s="35"/>
      <c r="B38" s="9"/>
      <c r="C38" s="47"/>
      <c r="D38" s="32"/>
      <c r="E38" s="32"/>
      <c r="F38" s="9"/>
      <c r="G38" s="9"/>
      <c r="H38" s="9"/>
      <c r="I38" s="32"/>
      <c r="J38" s="9"/>
      <c r="K38" s="7"/>
      <c r="L38" s="34"/>
      <c r="M38" s="9"/>
      <c r="N38" s="47"/>
      <c r="O38" s="32"/>
      <c r="P38" s="32"/>
      <c r="Q38" s="9"/>
      <c r="R38" s="9"/>
      <c r="S38" s="9"/>
      <c r="T38" s="32"/>
      <c r="U38" s="9"/>
      <c r="V38" s="7"/>
      <c r="W38" s="14"/>
      <c r="X38" s="14"/>
      <c r="Y38" s="14"/>
      <c r="Z38" s="14"/>
      <c r="AA38" s="14"/>
      <c r="AB38" s="14"/>
      <c r="AC38" s="14"/>
      <c r="AD38" s="14"/>
      <c r="AE38" s="14"/>
    </row>
    <row r="39" spans="1:31">
      <c r="A39" s="35"/>
      <c r="B39" s="9"/>
      <c r="C39" s="47"/>
      <c r="D39" s="32"/>
      <c r="E39" s="32"/>
      <c r="F39" s="9"/>
      <c r="G39" s="9"/>
      <c r="H39" s="9"/>
      <c r="I39" s="32"/>
      <c r="J39" s="9"/>
      <c r="K39" s="7"/>
      <c r="L39" s="34"/>
      <c r="M39" s="9"/>
      <c r="N39" s="47"/>
      <c r="O39" s="32"/>
      <c r="P39" s="32"/>
      <c r="Q39" s="9"/>
      <c r="R39" s="9"/>
      <c r="S39" s="9"/>
      <c r="T39" s="32"/>
      <c r="U39" s="9"/>
      <c r="V39" s="7"/>
      <c r="W39" s="14"/>
      <c r="X39" s="14"/>
      <c r="Y39" s="14"/>
      <c r="Z39" s="14"/>
      <c r="AA39" s="14"/>
      <c r="AB39" s="14"/>
      <c r="AC39" s="14"/>
      <c r="AD39" s="14"/>
      <c r="AE39" s="14"/>
    </row>
    <row r="40" spans="1:31">
      <c r="A40" s="35"/>
      <c r="B40" s="9"/>
      <c r="C40" s="32"/>
      <c r="D40" s="32"/>
      <c r="E40" s="32"/>
      <c r="F40" s="9"/>
      <c r="G40" s="9"/>
      <c r="H40" s="9"/>
      <c r="I40" s="32"/>
      <c r="J40" s="9"/>
      <c r="K40" s="7"/>
      <c r="L40" s="34"/>
      <c r="M40" s="9"/>
      <c r="N40" s="47"/>
      <c r="O40" s="32"/>
      <c r="P40" s="32"/>
      <c r="Q40" s="9"/>
      <c r="R40" s="9"/>
      <c r="S40" s="9"/>
      <c r="T40" s="32"/>
      <c r="U40" s="9"/>
      <c r="V40" s="7"/>
      <c r="W40" s="14"/>
      <c r="X40" s="14"/>
      <c r="Y40" s="14"/>
      <c r="Z40" s="14"/>
      <c r="AA40" s="14"/>
      <c r="AB40" s="14"/>
      <c r="AC40" s="14"/>
      <c r="AD40" s="14"/>
      <c r="AE40" s="14"/>
    </row>
    <row r="41" spans="1:31">
      <c r="A41" s="35"/>
      <c r="B41" s="9"/>
      <c r="C41" s="47"/>
      <c r="D41" s="32"/>
      <c r="E41" s="32"/>
      <c r="F41" s="9"/>
      <c r="G41" s="9"/>
      <c r="H41" s="9"/>
      <c r="I41" s="32"/>
      <c r="J41" s="9"/>
      <c r="K41" s="7"/>
      <c r="L41" s="34"/>
      <c r="M41" s="9"/>
      <c r="N41" s="47"/>
      <c r="O41" s="32"/>
      <c r="P41" s="32"/>
      <c r="Q41" s="9"/>
      <c r="R41" s="9"/>
      <c r="S41" s="9"/>
      <c r="T41" s="32"/>
      <c r="U41" s="9"/>
      <c r="V41" s="7"/>
      <c r="W41" s="14"/>
      <c r="X41" s="14"/>
      <c r="Y41" s="14"/>
      <c r="Z41" s="14"/>
      <c r="AA41" s="14"/>
      <c r="AB41" s="14"/>
      <c r="AC41" s="14"/>
      <c r="AD41" s="14"/>
      <c r="AE41" s="14"/>
    </row>
    <row r="42" spans="1:31">
      <c r="A42" s="35"/>
      <c r="B42" s="9"/>
      <c r="C42" s="32"/>
      <c r="D42" s="32"/>
      <c r="E42" s="32"/>
      <c r="F42" s="9"/>
      <c r="G42" s="9"/>
      <c r="H42" s="9"/>
      <c r="I42" s="32"/>
      <c r="J42" s="9"/>
      <c r="K42" s="7"/>
      <c r="L42" s="34"/>
      <c r="M42" s="9"/>
      <c r="N42" s="47"/>
      <c r="O42" s="32"/>
      <c r="P42" s="32"/>
      <c r="Q42" s="9"/>
      <c r="R42" s="9"/>
      <c r="S42" s="9"/>
      <c r="T42" s="32"/>
      <c r="U42" s="9"/>
      <c r="V42" s="7"/>
      <c r="W42" s="14"/>
      <c r="X42" s="14"/>
      <c r="Y42" s="14"/>
      <c r="Z42" s="14"/>
      <c r="AA42" s="14"/>
      <c r="AB42" s="14"/>
      <c r="AC42" s="14"/>
      <c r="AD42" s="14"/>
      <c r="AE42" s="14"/>
    </row>
    <row r="43" spans="1:31">
      <c r="A43" s="35"/>
      <c r="B43" s="9"/>
      <c r="C43" s="32"/>
      <c r="D43" s="32"/>
      <c r="E43" s="32"/>
      <c r="F43" s="9"/>
      <c r="G43" s="9"/>
      <c r="H43" s="9"/>
      <c r="I43" s="32"/>
      <c r="J43" s="9"/>
      <c r="K43" s="7"/>
      <c r="L43" s="34"/>
      <c r="M43" s="9"/>
      <c r="N43" s="47"/>
      <c r="O43" s="32"/>
      <c r="P43" s="32"/>
      <c r="Q43" s="9"/>
      <c r="R43" s="9"/>
      <c r="S43" s="9"/>
      <c r="T43" s="32"/>
      <c r="U43" s="9"/>
      <c r="V43" s="7"/>
      <c r="W43" s="14"/>
      <c r="X43" s="14"/>
      <c r="Y43" s="14"/>
      <c r="Z43" s="14"/>
      <c r="AA43" s="14"/>
      <c r="AB43" s="14"/>
      <c r="AC43" s="14"/>
      <c r="AD43" s="14"/>
      <c r="AE43" s="14"/>
    </row>
    <row r="44" spans="1:31">
      <c r="A44" s="35"/>
      <c r="B44" s="9"/>
      <c r="C44" s="32"/>
      <c r="D44" s="32"/>
      <c r="E44" s="32"/>
      <c r="F44" s="9"/>
      <c r="G44" s="9"/>
      <c r="H44" s="9"/>
      <c r="I44" s="32"/>
      <c r="J44" s="9"/>
      <c r="K44" s="7"/>
      <c r="L44" s="34"/>
      <c r="M44" s="9"/>
      <c r="N44" s="47"/>
      <c r="O44" s="32"/>
      <c r="P44" s="32"/>
      <c r="Q44" s="9"/>
      <c r="R44" s="9"/>
      <c r="S44" s="9"/>
      <c r="T44" s="32"/>
      <c r="U44" s="9"/>
      <c r="V44" s="7"/>
      <c r="W44" s="14"/>
      <c r="X44" s="14"/>
      <c r="Y44" s="14"/>
      <c r="Z44" s="14"/>
      <c r="AA44" s="14"/>
      <c r="AB44" s="14"/>
      <c r="AC44" s="14"/>
      <c r="AD44" s="14"/>
      <c r="AE44" s="14"/>
    </row>
    <row r="45" spans="1:31">
      <c r="A45" s="35"/>
      <c r="B45" s="9"/>
      <c r="C45" s="32"/>
      <c r="D45" s="32"/>
      <c r="E45" s="32"/>
      <c r="F45" s="9"/>
      <c r="G45" s="9"/>
      <c r="H45" s="9"/>
      <c r="I45" s="32"/>
      <c r="J45" s="9"/>
      <c r="K45" s="7"/>
      <c r="L45" s="34"/>
      <c r="M45" s="9"/>
      <c r="N45" s="47"/>
      <c r="O45" s="32"/>
      <c r="P45" s="32"/>
      <c r="Q45" s="9"/>
      <c r="R45" s="9"/>
      <c r="S45" s="9"/>
      <c r="T45" s="32"/>
      <c r="U45" s="9"/>
      <c r="V45" s="7"/>
      <c r="W45" s="14"/>
      <c r="X45" s="14"/>
      <c r="Y45" s="14"/>
      <c r="Z45" s="14"/>
      <c r="AA45" s="14"/>
      <c r="AB45" s="14"/>
      <c r="AC45" s="14"/>
      <c r="AD45" s="14"/>
      <c r="AE45" s="14"/>
    </row>
    <row r="46" spans="1:31">
      <c r="A46" s="35"/>
      <c r="B46" s="9"/>
      <c r="C46" s="47"/>
      <c r="D46" s="32"/>
      <c r="E46" s="32"/>
      <c r="F46" s="9"/>
      <c r="G46" s="9"/>
      <c r="H46" s="9"/>
      <c r="I46" s="32"/>
      <c r="J46" s="9"/>
      <c r="K46" s="7"/>
      <c r="L46" s="34"/>
      <c r="M46" s="9"/>
      <c r="N46" s="47"/>
      <c r="O46" s="32"/>
      <c r="P46" s="32"/>
      <c r="Q46" s="9"/>
      <c r="R46" s="9"/>
      <c r="S46" s="9"/>
      <c r="T46" s="32"/>
      <c r="U46" s="9"/>
      <c r="V46" s="7"/>
      <c r="W46" s="14"/>
      <c r="X46" s="14"/>
      <c r="Y46" s="14"/>
      <c r="Z46" s="14"/>
      <c r="AA46" s="14"/>
      <c r="AB46" s="14"/>
      <c r="AC46" s="14"/>
      <c r="AD46" s="14"/>
      <c r="AE46" s="14"/>
    </row>
    <row r="47" spans="1:31">
      <c r="A47" s="35"/>
      <c r="B47" s="9"/>
      <c r="C47" s="32"/>
      <c r="D47" s="32"/>
      <c r="E47" s="32"/>
      <c r="F47" s="9"/>
      <c r="G47" s="9"/>
      <c r="H47" s="9"/>
      <c r="I47" s="32"/>
      <c r="J47" s="9"/>
      <c r="K47" s="7"/>
      <c r="L47" s="34"/>
      <c r="M47" s="9"/>
      <c r="N47" s="47"/>
      <c r="O47" s="32"/>
      <c r="P47" s="32"/>
      <c r="Q47" s="9"/>
      <c r="R47" s="9"/>
      <c r="S47" s="9"/>
      <c r="T47" s="32"/>
      <c r="U47" s="9"/>
      <c r="V47" s="7"/>
      <c r="W47" s="14"/>
      <c r="X47" s="14"/>
      <c r="Y47" s="14"/>
      <c r="Z47" s="14"/>
      <c r="AA47" s="14"/>
      <c r="AB47" s="14"/>
      <c r="AC47" s="14"/>
      <c r="AD47" s="14"/>
      <c r="AE47" s="14"/>
    </row>
    <row r="48" spans="1:31">
      <c r="A48" s="35"/>
      <c r="B48" s="9"/>
      <c r="C48" s="32"/>
      <c r="D48" s="32"/>
      <c r="E48" s="32"/>
      <c r="F48" s="9"/>
      <c r="G48" s="9"/>
      <c r="H48" s="9"/>
      <c r="I48" s="32"/>
      <c r="J48" s="9"/>
      <c r="K48" s="7"/>
      <c r="L48" s="34"/>
      <c r="M48" s="9"/>
      <c r="N48" s="47"/>
      <c r="O48" s="32"/>
      <c r="P48" s="32"/>
      <c r="Q48" s="9"/>
      <c r="R48" s="9"/>
      <c r="S48" s="9"/>
      <c r="T48" s="32"/>
      <c r="U48" s="9"/>
      <c r="V48" s="7"/>
      <c r="W48" s="14"/>
      <c r="X48" s="14"/>
      <c r="Y48" s="14"/>
      <c r="Z48" s="14"/>
      <c r="AA48" s="14"/>
      <c r="AB48" s="14"/>
      <c r="AC48" s="14"/>
      <c r="AD48" s="14"/>
      <c r="AE48" s="14"/>
    </row>
    <row r="49" spans="1:31">
      <c r="A49" s="35"/>
      <c r="B49" s="9"/>
      <c r="C49" s="32"/>
      <c r="D49" s="32"/>
      <c r="E49" s="32"/>
      <c r="F49" s="9"/>
      <c r="G49" s="9"/>
      <c r="H49" s="9"/>
      <c r="I49" s="32"/>
      <c r="J49" s="9"/>
      <c r="K49" s="7"/>
      <c r="L49" s="34"/>
      <c r="M49" s="9"/>
      <c r="N49" s="47"/>
      <c r="O49" s="32"/>
      <c r="P49" s="32"/>
      <c r="Q49" s="9"/>
      <c r="R49" s="9"/>
      <c r="S49" s="9"/>
      <c r="T49" s="32"/>
      <c r="U49" s="9"/>
      <c r="V49" s="7"/>
      <c r="W49" s="14"/>
      <c r="X49" s="14"/>
      <c r="Y49" s="14"/>
      <c r="Z49" s="14"/>
      <c r="AA49" s="14"/>
      <c r="AB49" s="14"/>
      <c r="AC49" s="14"/>
      <c r="AD49" s="14"/>
      <c r="AE49" s="14"/>
    </row>
    <row r="50" spans="1:31">
      <c r="A50" s="35"/>
      <c r="B50" s="9"/>
      <c r="C50" s="32"/>
      <c r="D50" s="32"/>
      <c r="E50" s="32"/>
      <c r="F50" s="9"/>
      <c r="G50" s="9"/>
      <c r="H50" s="9"/>
      <c r="I50" s="32"/>
      <c r="J50" s="9"/>
      <c r="K50" s="7"/>
      <c r="L50" s="34"/>
      <c r="M50" s="9"/>
      <c r="N50" s="47"/>
      <c r="O50" s="32"/>
      <c r="P50" s="32"/>
      <c r="Q50" s="9"/>
      <c r="R50" s="9"/>
      <c r="S50" s="9"/>
      <c r="T50" s="32"/>
      <c r="U50" s="9"/>
      <c r="V50" s="7"/>
      <c r="W50" s="14"/>
      <c r="X50" s="14"/>
      <c r="Y50" s="14"/>
      <c r="Z50" s="14"/>
      <c r="AA50" s="14"/>
      <c r="AB50" s="14"/>
      <c r="AC50" s="14"/>
      <c r="AD50" s="14"/>
      <c r="AE50" s="14"/>
    </row>
    <row r="51" spans="1:31">
      <c r="A51" s="35"/>
      <c r="B51" s="9"/>
      <c r="C51" s="47"/>
      <c r="D51" s="32"/>
      <c r="E51" s="32"/>
      <c r="F51" s="9"/>
      <c r="G51" s="9"/>
      <c r="H51" s="9"/>
      <c r="I51" s="32"/>
      <c r="J51" s="9"/>
      <c r="K51" s="7"/>
      <c r="L51" s="34"/>
      <c r="M51" s="9"/>
      <c r="N51" s="47"/>
      <c r="O51" s="32"/>
      <c r="P51" s="32"/>
      <c r="Q51" s="9"/>
      <c r="R51" s="9"/>
      <c r="S51" s="9"/>
      <c r="T51" s="32"/>
      <c r="U51" s="9"/>
      <c r="V51" s="7"/>
      <c r="W51" s="14"/>
      <c r="X51" s="14"/>
      <c r="Y51" s="14"/>
      <c r="Z51" s="14"/>
      <c r="AA51" s="14"/>
      <c r="AB51" s="14"/>
      <c r="AC51" s="14"/>
      <c r="AD51" s="14"/>
      <c r="AE51" s="14"/>
    </row>
    <row r="52" spans="1:31">
      <c r="A52" s="35"/>
      <c r="B52" s="9"/>
      <c r="C52" s="32"/>
      <c r="D52" s="32"/>
      <c r="E52" s="32"/>
      <c r="F52" s="9"/>
      <c r="G52" s="9"/>
      <c r="H52" s="9"/>
      <c r="I52" s="32"/>
      <c r="J52" s="9"/>
      <c r="K52" s="7"/>
      <c r="L52" s="34"/>
      <c r="M52" s="9"/>
      <c r="N52" s="47"/>
      <c r="O52" s="32"/>
      <c r="P52" s="32"/>
      <c r="Q52" s="9"/>
      <c r="R52" s="9"/>
      <c r="S52" s="9"/>
      <c r="T52" s="32"/>
      <c r="U52" s="9"/>
      <c r="V52" s="7"/>
      <c r="W52" s="14"/>
      <c r="X52" s="14"/>
      <c r="Y52" s="14"/>
      <c r="Z52" s="14"/>
      <c r="AA52" s="14"/>
      <c r="AB52" s="14"/>
      <c r="AC52" s="14"/>
      <c r="AD52" s="14"/>
      <c r="AE52" s="14"/>
    </row>
    <row r="53" spans="1:31">
      <c r="A53" s="35"/>
      <c r="B53" s="9"/>
      <c r="C53" s="47"/>
      <c r="D53" s="32"/>
      <c r="E53" s="32"/>
      <c r="F53" s="9"/>
      <c r="G53" s="9"/>
      <c r="H53" s="9"/>
      <c r="I53" s="32"/>
      <c r="J53" s="9"/>
      <c r="K53" s="7"/>
      <c r="L53" s="34"/>
      <c r="M53" s="9"/>
      <c r="N53" s="47"/>
      <c r="O53" s="32"/>
      <c r="P53" s="32"/>
      <c r="Q53" s="9"/>
      <c r="R53" s="9"/>
      <c r="S53" s="9"/>
      <c r="T53" s="32"/>
      <c r="U53" s="9"/>
      <c r="V53" s="7"/>
      <c r="W53" s="14"/>
      <c r="X53" s="14"/>
      <c r="Y53" s="14"/>
      <c r="Z53" s="14"/>
      <c r="AA53" s="14"/>
      <c r="AB53" s="14"/>
      <c r="AC53" s="14"/>
      <c r="AD53" s="14"/>
      <c r="AE53" s="14"/>
    </row>
    <row r="54" spans="1:31">
      <c r="A54" s="35"/>
      <c r="B54" s="9"/>
      <c r="C54" s="32"/>
      <c r="D54" s="32"/>
      <c r="E54" s="32"/>
      <c r="F54" s="9"/>
      <c r="G54" s="9"/>
      <c r="H54" s="9"/>
      <c r="I54" s="32"/>
      <c r="J54" s="9"/>
      <c r="K54" s="7"/>
      <c r="L54" s="34"/>
      <c r="M54" s="9"/>
      <c r="N54" s="47"/>
      <c r="O54" s="32"/>
      <c r="P54" s="32"/>
      <c r="Q54" s="9"/>
      <c r="R54" s="9"/>
      <c r="S54" s="9"/>
      <c r="T54" s="32"/>
      <c r="U54" s="9"/>
      <c r="V54" s="7"/>
      <c r="W54" s="14"/>
      <c r="X54" s="14"/>
      <c r="Y54" s="14"/>
      <c r="Z54" s="14"/>
      <c r="AA54" s="14"/>
      <c r="AB54" s="14"/>
      <c r="AC54" s="14"/>
      <c r="AD54" s="14"/>
      <c r="AE54" s="14"/>
    </row>
    <row r="55" spans="1:31">
      <c r="A55" s="35"/>
      <c r="B55" s="9"/>
      <c r="C55" s="32"/>
      <c r="D55" s="32"/>
      <c r="E55" s="32"/>
      <c r="F55" s="9"/>
      <c r="G55" s="9"/>
      <c r="H55" s="9"/>
      <c r="I55" s="32"/>
      <c r="J55" s="9"/>
      <c r="K55" s="7"/>
      <c r="L55" s="34"/>
      <c r="M55" s="9"/>
      <c r="N55" s="47"/>
      <c r="O55" s="32"/>
      <c r="P55" s="32"/>
      <c r="Q55" s="9"/>
      <c r="R55" s="9"/>
      <c r="S55" s="9"/>
      <c r="T55" s="32"/>
      <c r="U55" s="9"/>
      <c r="V55" s="7"/>
      <c r="W55" s="14"/>
      <c r="X55" s="14"/>
      <c r="Y55" s="14"/>
      <c r="Z55" s="14"/>
      <c r="AA55" s="14"/>
      <c r="AB55" s="14"/>
      <c r="AC55" s="14"/>
      <c r="AD55" s="14"/>
      <c r="AE55" s="14"/>
    </row>
    <row r="56" spans="1:31">
      <c r="A56" s="35"/>
      <c r="B56" s="9"/>
      <c r="C56" s="32"/>
      <c r="D56" s="32"/>
      <c r="E56" s="32"/>
      <c r="F56" s="9"/>
      <c r="G56" s="9"/>
      <c r="H56" s="9"/>
      <c r="I56" s="32"/>
      <c r="J56" s="9"/>
      <c r="K56" s="7"/>
      <c r="L56" s="34"/>
      <c r="M56" s="9"/>
      <c r="N56" s="47"/>
      <c r="O56" s="32"/>
      <c r="P56" s="32"/>
      <c r="Q56" s="9"/>
      <c r="R56" s="9"/>
      <c r="S56" s="9"/>
      <c r="T56" s="32"/>
      <c r="U56" s="9"/>
      <c r="V56" s="7"/>
      <c r="W56" s="14"/>
      <c r="X56" s="14"/>
      <c r="Y56" s="14"/>
      <c r="Z56" s="14"/>
      <c r="AA56" s="14"/>
      <c r="AB56" s="14"/>
      <c r="AC56" s="14"/>
      <c r="AD56" s="14"/>
      <c r="AE56" s="14"/>
    </row>
    <row r="57" spans="1:31">
      <c r="A57" s="35"/>
      <c r="B57" s="9"/>
      <c r="C57" s="47"/>
      <c r="D57" s="32"/>
      <c r="E57" s="32"/>
      <c r="F57" s="9"/>
      <c r="G57" s="9"/>
      <c r="H57" s="9"/>
      <c r="I57" s="32"/>
      <c r="J57" s="9"/>
      <c r="K57" s="7"/>
      <c r="L57" s="34"/>
      <c r="M57" s="9"/>
      <c r="N57" s="47"/>
      <c r="O57" s="32"/>
      <c r="P57" s="32"/>
      <c r="Q57" s="9"/>
      <c r="R57" s="9"/>
      <c r="S57" s="9"/>
      <c r="T57" s="32"/>
      <c r="U57" s="9"/>
      <c r="V57" s="7"/>
      <c r="W57" s="14"/>
      <c r="X57" s="14"/>
      <c r="Y57" s="14"/>
      <c r="Z57" s="14"/>
      <c r="AA57" s="14"/>
      <c r="AB57" s="14"/>
      <c r="AC57" s="14"/>
      <c r="AD57" s="14"/>
      <c r="AE57" s="14"/>
    </row>
    <row r="58" spans="1:31">
      <c r="A58" s="35"/>
      <c r="B58" s="9"/>
      <c r="C58" s="32"/>
      <c r="D58" s="32"/>
      <c r="E58" s="32"/>
      <c r="F58" s="9"/>
      <c r="G58" s="9"/>
      <c r="H58" s="9"/>
      <c r="I58" s="32"/>
      <c r="J58" s="9"/>
      <c r="K58" s="7"/>
      <c r="L58" s="34"/>
      <c r="M58" s="9"/>
      <c r="N58" s="47"/>
      <c r="O58" s="32"/>
      <c r="P58" s="32"/>
      <c r="Q58" s="9"/>
      <c r="R58" s="9"/>
      <c r="S58" s="9"/>
      <c r="T58" s="32"/>
      <c r="U58" s="9"/>
      <c r="V58" s="7"/>
      <c r="W58" s="14"/>
      <c r="X58" s="14"/>
      <c r="Y58" s="14"/>
      <c r="Z58" s="14"/>
      <c r="AA58" s="14"/>
      <c r="AB58" s="14"/>
      <c r="AC58" s="14"/>
      <c r="AD58" s="14"/>
      <c r="AE58" s="14"/>
    </row>
    <row r="59" spans="1:31">
      <c r="A59" s="35"/>
      <c r="B59" s="9"/>
      <c r="C59" s="32"/>
      <c r="D59" s="32"/>
      <c r="E59" s="32"/>
      <c r="F59" s="9"/>
      <c r="G59" s="9"/>
      <c r="H59" s="9"/>
      <c r="I59" s="32"/>
      <c r="J59" s="9"/>
      <c r="K59" s="7"/>
      <c r="L59" s="34"/>
      <c r="M59" s="9"/>
      <c r="N59" s="47"/>
      <c r="O59" s="32"/>
      <c r="P59" s="32"/>
      <c r="Q59" s="9"/>
      <c r="R59" s="9"/>
      <c r="S59" s="9"/>
      <c r="T59" s="32"/>
      <c r="U59" s="9"/>
      <c r="V59" s="7"/>
      <c r="W59" s="14"/>
      <c r="X59" s="14"/>
      <c r="Y59" s="14"/>
      <c r="Z59" s="14"/>
      <c r="AA59" s="14"/>
      <c r="AB59" s="14"/>
      <c r="AC59" s="14"/>
      <c r="AD59" s="14"/>
      <c r="AE59" s="14"/>
    </row>
    <row r="60" spans="1:31">
      <c r="A60" s="35"/>
      <c r="B60" s="9"/>
      <c r="C60" s="47"/>
      <c r="D60" s="32"/>
      <c r="E60" s="32"/>
      <c r="F60" s="9"/>
      <c r="G60" s="9"/>
      <c r="H60" s="9"/>
      <c r="I60" s="32"/>
      <c r="J60" s="9"/>
      <c r="K60" s="7"/>
      <c r="L60" s="34"/>
      <c r="M60" s="9"/>
      <c r="N60" s="47"/>
      <c r="O60" s="32"/>
      <c r="P60" s="32"/>
      <c r="Q60" s="9"/>
      <c r="R60" s="9"/>
      <c r="S60" s="9"/>
      <c r="T60" s="32"/>
      <c r="U60" s="9"/>
      <c r="V60" s="7"/>
      <c r="W60" s="14"/>
      <c r="X60" s="14"/>
      <c r="Y60" s="14"/>
      <c r="Z60" s="14"/>
      <c r="AA60" s="14"/>
      <c r="AB60" s="14"/>
      <c r="AC60" s="14"/>
      <c r="AD60" s="14"/>
      <c r="AE60" s="14"/>
    </row>
    <row r="61" spans="1:31">
      <c r="A61" s="35"/>
      <c r="B61" s="9"/>
      <c r="C61" s="32"/>
      <c r="D61" s="32"/>
      <c r="E61" s="32"/>
      <c r="F61" s="9"/>
      <c r="G61" s="9"/>
      <c r="H61" s="9"/>
      <c r="I61" s="32"/>
      <c r="J61" s="9"/>
      <c r="K61" s="7"/>
      <c r="L61" s="34"/>
      <c r="M61" s="9"/>
      <c r="N61" s="47"/>
      <c r="O61" s="32"/>
      <c r="P61" s="32"/>
      <c r="Q61" s="9"/>
      <c r="R61" s="9"/>
      <c r="S61" s="9"/>
      <c r="T61" s="32"/>
      <c r="U61" s="9"/>
      <c r="V61" s="7"/>
      <c r="W61" s="14"/>
      <c r="X61" s="14"/>
      <c r="Y61" s="14"/>
      <c r="Z61" s="14"/>
      <c r="AA61" s="14"/>
      <c r="AB61" s="14"/>
      <c r="AC61" s="14"/>
      <c r="AD61" s="14"/>
      <c r="AE61" s="14"/>
    </row>
    <row r="62" spans="1:31">
      <c r="A62" s="35"/>
      <c r="B62" s="9"/>
      <c r="C62" s="32"/>
      <c r="D62" s="32"/>
      <c r="E62" s="32"/>
      <c r="F62" s="9"/>
      <c r="G62" s="9"/>
      <c r="H62" s="9"/>
      <c r="I62" s="32"/>
      <c r="J62" s="9"/>
      <c r="K62" s="7"/>
      <c r="L62" s="34"/>
      <c r="M62" s="9"/>
      <c r="N62" s="47"/>
      <c r="O62" s="32"/>
      <c r="P62" s="32"/>
      <c r="Q62" s="9"/>
      <c r="R62" s="9"/>
      <c r="S62" s="9"/>
      <c r="T62" s="32"/>
      <c r="U62" s="9"/>
      <c r="V62" s="7"/>
      <c r="W62" s="14"/>
      <c r="X62" s="14"/>
      <c r="Y62" s="14"/>
      <c r="Z62" s="14"/>
      <c r="AA62" s="14"/>
      <c r="AB62" s="14"/>
      <c r="AC62" s="14"/>
      <c r="AD62" s="14"/>
      <c r="AE62" s="14"/>
    </row>
    <row r="63" spans="1:31">
      <c r="A63" s="35"/>
      <c r="B63" s="9"/>
      <c r="C63" s="32"/>
      <c r="D63" s="32"/>
      <c r="E63" s="32"/>
      <c r="F63" s="9"/>
      <c r="G63" s="9"/>
      <c r="H63" s="9"/>
      <c r="I63" s="32"/>
      <c r="J63" s="9"/>
      <c r="K63" s="7"/>
      <c r="L63" s="34"/>
      <c r="M63" s="9"/>
      <c r="N63" s="47"/>
      <c r="O63" s="32"/>
      <c r="P63" s="32"/>
      <c r="Q63" s="9"/>
      <c r="R63" s="9"/>
      <c r="S63" s="9"/>
      <c r="T63" s="32"/>
      <c r="U63" s="9"/>
      <c r="V63" s="7"/>
      <c r="W63" s="14"/>
      <c r="X63" s="14"/>
      <c r="Y63" s="14"/>
      <c r="Z63" s="14"/>
      <c r="AA63" s="14"/>
      <c r="AB63" s="14"/>
      <c r="AC63" s="14"/>
      <c r="AD63" s="14"/>
      <c r="AE63" s="14"/>
    </row>
    <row r="64" spans="1:31">
      <c r="A64" s="35"/>
      <c r="B64" s="9"/>
      <c r="C64" s="47"/>
      <c r="D64" s="32"/>
      <c r="E64" s="32"/>
      <c r="F64" s="9"/>
      <c r="G64" s="9"/>
      <c r="H64" s="9"/>
      <c r="I64" s="32"/>
      <c r="J64" s="9"/>
      <c r="K64" s="7"/>
      <c r="L64" s="34"/>
      <c r="M64" s="9"/>
      <c r="N64" s="47"/>
      <c r="O64" s="32"/>
      <c r="P64" s="32"/>
      <c r="Q64" s="9"/>
      <c r="R64" s="9"/>
      <c r="S64" s="9"/>
      <c r="T64" s="32"/>
      <c r="U64" s="9"/>
      <c r="V64" s="7"/>
      <c r="W64" s="14"/>
      <c r="X64" s="14"/>
      <c r="Y64" s="14"/>
      <c r="Z64" s="14"/>
      <c r="AA64" s="14"/>
      <c r="AB64" s="14"/>
      <c r="AC64" s="14"/>
      <c r="AD64" s="14"/>
      <c r="AE64" s="14"/>
    </row>
    <row r="65" spans="1:31">
      <c r="A65" s="35"/>
      <c r="B65" s="9"/>
      <c r="C65" s="32"/>
      <c r="D65" s="32"/>
      <c r="E65" s="32"/>
      <c r="F65" s="9"/>
      <c r="G65" s="9"/>
      <c r="H65" s="9"/>
      <c r="I65" s="32"/>
      <c r="J65" s="9"/>
      <c r="K65" s="7"/>
      <c r="L65" s="34"/>
      <c r="M65" s="9"/>
      <c r="N65" s="47"/>
      <c r="O65" s="32"/>
      <c r="P65" s="32"/>
      <c r="Q65" s="9"/>
      <c r="R65" s="9"/>
      <c r="S65" s="9"/>
      <c r="T65" s="32"/>
      <c r="U65" s="9"/>
      <c r="V65" s="7"/>
      <c r="W65" s="14"/>
      <c r="X65" s="14"/>
      <c r="Y65" s="14"/>
      <c r="Z65" s="14"/>
      <c r="AA65" s="14"/>
      <c r="AB65" s="14"/>
      <c r="AC65" s="14"/>
      <c r="AD65" s="14"/>
      <c r="AE65" s="14"/>
    </row>
    <row r="66" spans="1:31">
      <c r="A66" s="35"/>
      <c r="B66" s="9"/>
      <c r="C66" s="32"/>
      <c r="D66" s="32"/>
      <c r="E66" s="32"/>
      <c r="F66" s="9"/>
      <c r="G66" s="9"/>
      <c r="H66" s="9"/>
      <c r="I66" s="32"/>
      <c r="J66" s="9"/>
      <c r="K66" s="7"/>
      <c r="L66" s="34"/>
      <c r="M66" s="9"/>
      <c r="N66" s="47"/>
      <c r="O66" s="32"/>
      <c r="P66" s="32"/>
      <c r="Q66" s="9"/>
      <c r="R66" s="9"/>
      <c r="S66" s="9"/>
      <c r="T66" s="32"/>
      <c r="U66" s="9"/>
      <c r="V66" s="7"/>
      <c r="W66" s="14"/>
      <c r="X66" s="14"/>
      <c r="Y66" s="14"/>
      <c r="Z66" s="14"/>
      <c r="AA66" s="14"/>
      <c r="AB66" s="14"/>
      <c r="AC66" s="14"/>
      <c r="AD66" s="14"/>
      <c r="AE66" s="14"/>
    </row>
    <row r="67" spans="1:31">
      <c r="A67" s="35"/>
      <c r="B67" s="9"/>
      <c r="C67" s="32"/>
      <c r="D67" s="32"/>
      <c r="E67" s="32"/>
      <c r="F67" s="9"/>
      <c r="G67" s="9"/>
      <c r="H67" s="9"/>
      <c r="I67" s="32"/>
      <c r="J67" s="9"/>
      <c r="K67" s="7"/>
      <c r="L67" s="34"/>
      <c r="M67" s="9"/>
      <c r="N67" s="47"/>
      <c r="O67" s="32"/>
      <c r="P67" s="32"/>
      <c r="Q67" s="9"/>
      <c r="R67" s="9"/>
      <c r="S67" s="9"/>
      <c r="T67" s="32"/>
      <c r="U67" s="9"/>
      <c r="V67" s="7"/>
      <c r="W67" s="14"/>
      <c r="X67" s="14"/>
      <c r="Y67" s="14"/>
      <c r="Z67" s="14"/>
      <c r="AA67" s="14"/>
      <c r="AB67" s="14"/>
      <c r="AC67" s="14"/>
      <c r="AD67" s="14"/>
      <c r="AE67" s="14"/>
    </row>
    <row r="68" spans="1:31">
      <c r="A68" s="35"/>
      <c r="B68" s="9"/>
      <c r="C68" s="32"/>
      <c r="D68" s="32"/>
      <c r="E68" s="32"/>
      <c r="F68" s="9"/>
      <c r="G68" s="9"/>
      <c r="H68" s="9"/>
      <c r="I68" s="32"/>
      <c r="J68" s="9"/>
      <c r="K68" s="7"/>
      <c r="L68" s="34"/>
      <c r="M68" s="9"/>
      <c r="N68" s="47"/>
      <c r="O68" s="32"/>
      <c r="P68" s="32"/>
      <c r="Q68" s="9"/>
      <c r="R68" s="9"/>
      <c r="S68" s="9"/>
      <c r="T68" s="32"/>
      <c r="U68" s="9"/>
      <c r="V68" s="7"/>
      <c r="W68" s="14"/>
      <c r="X68" s="14"/>
      <c r="Y68" s="14"/>
      <c r="Z68" s="14"/>
      <c r="AA68" s="14"/>
      <c r="AB68" s="14"/>
      <c r="AC68" s="14"/>
      <c r="AD68" s="14"/>
      <c r="AE68" s="14"/>
    </row>
    <row r="69" spans="1:31">
      <c r="A69" s="35"/>
      <c r="B69" s="9"/>
      <c r="C69" s="32"/>
      <c r="D69" s="32"/>
      <c r="E69" s="32"/>
      <c r="F69" s="9"/>
      <c r="G69" s="9"/>
      <c r="H69" s="9"/>
      <c r="I69" s="32"/>
      <c r="J69" s="9"/>
      <c r="K69" s="7"/>
      <c r="L69" s="34"/>
      <c r="M69" s="9"/>
      <c r="N69" s="47"/>
      <c r="O69" s="32"/>
      <c r="P69" s="32"/>
      <c r="Q69" s="9"/>
      <c r="R69" s="9"/>
      <c r="S69" s="9"/>
      <c r="T69" s="32"/>
      <c r="U69" s="9"/>
      <c r="V69" s="7"/>
      <c r="W69" s="14"/>
      <c r="X69" s="14"/>
      <c r="Y69" s="14"/>
      <c r="Z69" s="14"/>
      <c r="AA69" s="14"/>
      <c r="AB69" s="14"/>
      <c r="AC69" s="14"/>
      <c r="AD69" s="14"/>
      <c r="AE69" s="14"/>
    </row>
    <row r="70" spans="1:31">
      <c r="A70" s="35"/>
      <c r="B70" s="9"/>
      <c r="C70" s="47"/>
      <c r="D70" s="32"/>
      <c r="E70" s="32"/>
      <c r="F70" s="9"/>
      <c r="G70" s="9"/>
      <c r="H70" s="9"/>
      <c r="I70" s="32"/>
      <c r="J70" s="9"/>
      <c r="K70" s="7"/>
      <c r="L70" s="34"/>
      <c r="M70" s="9"/>
      <c r="N70" s="47"/>
      <c r="O70" s="32"/>
      <c r="P70" s="32"/>
      <c r="Q70" s="9"/>
      <c r="R70" s="9"/>
      <c r="S70" s="9"/>
      <c r="T70" s="32"/>
      <c r="U70" s="9"/>
      <c r="V70" s="7"/>
      <c r="W70" s="14"/>
      <c r="X70" s="14"/>
      <c r="Y70" s="14"/>
      <c r="Z70" s="14"/>
      <c r="AA70" s="14"/>
      <c r="AB70" s="14"/>
      <c r="AC70" s="14"/>
      <c r="AD70" s="14"/>
      <c r="AE70" s="14"/>
    </row>
    <row r="71" spans="1:31">
      <c r="A71" s="35"/>
      <c r="B71" s="9"/>
      <c r="C71" s="32"/>
      <c r="D71" s="32"/>
      <c r="E71" s="32"/>
      <c r="F71" s="9"/>
      <c r="G71" s="9"/>
      <c r="H71" s="9"/>
      <c r="I71" s="32"/>
      <c r="J71" s="9"/>
      <c r="K71" s="7"/>
      <c r="L71" s="34"/>
      <c r="M71" s="9"/>
      <c r="N71" s="47"/>
      <c r="O71" s="32"/>
      <c r="P71" s="32"/>
      <c r="Q71" s="9"/>
      <c r="R71" s="9"/>
      <c r="S71" s="9"/>
      <c r="T71" s="32"/>
      <c r="U71" s="9"/>
      <c r="V71" s="7"/>
      <c r="W71" s="14"/>
      <c r="X71" s="14"/>
      <c r="Y71" s="14"/>
      <c r="Z71" s="14"/>
      <c r="AA71" s="14"/>
      <c r="AB71" s="14"/>
      <c r="AC71" s="14"/>
      <c r="AD71" s="14"/>
      <c r="AE71" s="14"/>
    </row>
    <row r="72" spans="1:31">
      <c r="A72" s="35"/>
      <c r="B72" s="9"/>
      <c r="C72" s="32"/>
      <c r="D72" s="32"/>
      <c r="E72" s="32"/>
      <c r="F72" s="9"/>
      <c r="G72" s="9"/>
      <c r="H72" s="9"/>
      <c r="I72" s="32"/>
      <c r="J72" s="9"/>
      <c r="K72" s="7"/>
      <c r="L72" s="34"/>
      <c r="M72" s="9"/>
      <c r="N72" s="47"/>
      <c r="O72" s="32"/>
      <c r="P72" s="32"/>
      <c r="Q72" s="9"/>
      <c r="R72" s="9"/>
      <c r="S72" s="9"/>
      <c r="T72" s="32"/>
      <c r="U72" s="9"/>
      <c r="V72" s="7"/>
      <c r="W72" s="14"/>
      <c r="X72" s="14"/>
      <c r="Y72" s="14"/>
      <c r="Z72" s="14"/>
      <c r="AA72" s="14"/>
      <c r="AB72" s="14"/>
      <c r="AC72" s="14"/>
      <c r="AD72" s="14"/>
      <c r="AE72" s="14"/>
    </row>
    <row r="73" spans="1:31">
      <c r="A73" s="35"/>
      <c r="B73" s="9"/>
      <c r="C73" s="32"/>
      <c r="D73" s="32"/>
      <c r="E73" s="32"/>
      <c r="F73" s="9"/>
      <c r="G73" s="9"/>
      <c r="H73" s="9"/>
      <c r="I73" s="32"/>
      <c r="J73" s="9"/>
      <c r="K73" s="7"/>
      <c r="L73" s="34"/>
      <c r="M73" s="9"/>
      <c r="N73" s="47"/>
      <c r="O73" s="32"/>
      <c r="P73" s="32"/>
      <c r="Q73" s="9"/>
      <c r="R73" s="9"/>
      <c r="S73" s="9"/>
      <c r="T73" s="32"/>
      <c r="U73" s="9"/>
      <c r="V73" s="7"/>
      <c r="W73" s="14"/>
      <c r="X73" s="14"/>
      <c r="Y73" s="14"/>
      <c r="Z73" s="14"/>
      <c r="AA73" s="14"/>
      <c r="AB73" s="14"/>
      <c r="AC73" s="14"/>
      <c r="AD73" s="14"/>
      <c r="AE73" s="14"/>
    </row>
    <row r="74" spans="1:31">
      <c r="A74" s="35"/>
      <c r="B74" s="9"/>
      <c r="C74" s="47"/>
      <c r="D74" s="32"/>
      <c r="E74" s="32"/>
      <c r="F74" s="9"/>
      <c r="G74" s="9"/>
      <c r="H74" s="9"/>
      <c r="I74" s="32"/>
      <c r="J74" s="9"/>
      <c r="K74" s="7"/>
      <c r="L74" s="34"/>
      <c r="M74" s="9"/>
      <c r="N74" s="47"/>
      <c r="O74" s="32"/>
      <c r="P74" s="32"/>
      <c r="Q74" s="9"/>
      <c r="R74" s="9"/>
      <c r="S74" s="9"/>
      <c r="T74" s="32"/>
      <c r="U74" s="9"/>
      <c r="V74" s="7"/>
      <c r="W74" s="14"/>
      <c r="X74" s="14"/>
      <c r="Y74" s="14"/>
      <c r="Z74" s="14"/>
      <c r="AA74" s="14"/>
      <c r="AB74" s="14"/>
      <c r="AC74" s="14"/>
      <c r="AD74" s="14"/>
      <c r="AE74" s="14"/>
    </row>
    <row r="75" spans="1:31">
      <c r="A75" s="35"/>
      <c r="B75" s="9"/>
      <c r="C75" s="32"/>
      <c r="D75" s="32"/>
      <c r="E75" s="32"/>
      <c r="F75" s="9"/>
      <c r="G75" s="9"/>
      <c r="H75" s="9"/>
      <c r="I75" s="32"/>
      <c r="J75" s="9"/>
      <c r="K75" s="7"/>
      <c r="L75" s="34"/>
      <c r="M75" s="9"/>
      <c r="N75" s="47"/>
      <c r="O75" s="32"/>
      <c r="P75" s="32"/>
      <c r="Q75" s="9"/>
      <c r="R75" s="9"/>
      <c r="S75" s="9"/>
      <c r="T75" s="32"/>
      <c r="U75" s="9"/>
      <c r="V75" s="7"/>
      <c r="W75" s="14"/>
      <c r="X75" s="14"/>
      <c r="Y75" s="14"/>
      <c r="Z75" s="14"/>
      <c r="AA75" s="14"/>
      <c r="AB75" s="14"/>
      <c r="AC75" s="14"/>
      <c r="AD75" s="14"/>
      <c r="AE75" s="14"/>
    </row>
    <row r="76" spans="1:31">
      <c r="A76" s="35"/>
      <c r="B76" s="9"/>
      <c r="C76" s="32"/>
      <c r="D76" s="32"/>
      <c r="E76" s="32"/>
      <c r="F76" s="9"/>
      <c r="G76" s="9"/>
      <c r="H76" s="9"/>
      <c r="I76" s="32"/>
      <c r="J76" s="9"/>
      <c r="K76" s="7"/>
      <c r="L76" s="34"/>
      <c r="M76" s="9"/>
      <c r="N76" s="47"/>
      <c r="O76" s="32"/>
      <c r="P76" s="32"/>
      <c r="Q76" s="9"/>
      <c r="R76" s="9"/>
      <c r="S76" s="9"/>
      <c r="T76" s="32"/>
      <c r="U76" s="9"/>
      <c r="V76" s="7"/>
      <c r="W76" s="14"/>
      <c r="X76" s="14"/>
      <c r="Y76" s="14"/>
      <c r="Z76" s="14"/>
      <c r="AA76" s="14"/>
      <c r="AB76" s="14"/>
      <c r="AC76" s="14"/>
      <c r="AD76" s="14"/>
      <c r="AE76" s="14"/>
    </row>
    <row r="77" spans="1:31">
      <c r="A77" s="35"/>
      <c r="B77" s="9"/>
      <c r="C77" s="32"/>
      <c r="D77" s="32"/>
      <c r="E77" s="32"/>
      <c r="F77" s="9"/>
      <c r="G77" s="9"/>
      <c r="H77" s="9"/>
      <c r="I77" s="32"/>
      <c r="J77" s="9"/>
      <c r="K77" s="7"/>
      <c r="L77" s="34"/>
      <c r="M77" s="9"/>
      <c r="N77" s="47"/>
      <c r="O77" s="32"/>
      <c r="P77" s="32"/>
      <c r="Q77" s="9"/>
      <c r="R77" s="9"/>
      <c r="S77" s="9"/>
      <c r="T77" s="32"/>
      <c r="U77" s="9"/>
      <c r="V77" s="7"/>
      <c r="W77" s="14"/>
      <c r="X77" s="14"/>
      <c r="Y77" s="14"/>
      <c r="Z77" s="14"/>
      <c r="AA77" s="14"/>
      <c r="AB77" s="14"/>
      <c r="AC77" s="14"/>
      <c r="AD77" s="14"/>
      <c r="AE77" s="14"/>
    </row>
    <row r="78" spans="1:31">
      <c r="A78" s="35"/>
      <c r="B78" s="9"/>
      <c r="C78" s="32"/>
      <c r="D78" s="32"/>
      <c r="E78" s="32"/>
      <c r="F78" s="9"/>
      <c r="G78" s="9"/>
      <c r="H78" s="9"/>
      <c r="I78" s="32"/>
      <c r="J78" s="9"/>
      <c r="K78" s="7"/>
      <c r="L78" s="34"/>
      <c r="M78" s="9"/>
      <c r="N78" s="47"/>
      <c r="O78" s="32"/>
      <c r="P78" s="32"/>
      <c r="Q78" s="9"/>
      <c r="R78" s="9"/>
      <c r="S78" s="9"/>
      <c r="T78" s="32"/>
      <c r="U78" s="9"/>
      <c r="V78" s="7"/>
      <c r="W78" s="14"/>
      <c r="X78" s="14"/>
      <c r="Y78" s="14"/>
      <c r="Z78" s="14"/>
      <c r="AA78" s="14"/>
      <c r="AB78" s="14"/>
      <c r="AC78" s="14"/>
      <c r="AD78" s="14"/>
      <c r="AE78" s="14"/>
    </row>
    <row r="79" spans="1:31">
      <c r="A79" s="35"/>
      <c r="B79" s="9"/>
      <c r="C79" s="32"/>
      <c r="D79" s="32"/>
      <c r="E79" s="32"/>
      <c r="F79" s="9"/>
      <c r="G79" s="9"/>
      <c r="H79" s="9"/>
      <c r="I79" s="32"/>
      <c r="J79" s="9"/>
      <c r="K79" s="7"/>
      <c r="L79" s="34"/>
      <c r="M79" s="9"/>
      <c r="N79" s="47"/>
      <c r="O79" s="32"/>
      <c r="P79" s="32"/>
      <c r="Q79" s="9"/>
      <c r="R79" s="9"/>
      <c r="S79" s="9"/>
      <c r="T79" s="32"/>
      <c r="U79" s="9"/>
      <c r="V79" s="7"/>
      <c r="W79" s="14"/>
      <c r="X79" s="14"/>
      <c r="Y79" s="14"/>
      <c r="Z79" s="14"/>
      <c r="AA79" s="14"/>
      <c r="AB79" s="14"/>
      <c r="AC79" s="14"/>
      <c r="AD79" s="14"/>
      <c r="AE79" s="14"/>
    </row>
    <row r="80" spans="1:31">
      <c r="A80" s="35"/>
      <c r="B80" s="9"/>
      <c r="C80" s="47"/>
      <c r="D80" s="32"/>
      <c r="E80" s="32"/>
      <c r="F80" s="9"/>
      <c r="G80" s="9"/>
      <c r="H80" s="9"/>
      <c r="I80" s="32"/>
      <c r="J80" s="9"/>
      <c r="K80" s="7"/>
      <c r="L80" s="34"/>
      <c r="M80" s="9"/>
      <c r="N80" s="47"/>
      <c r="O80" s="32"/>
      <c r="P80" s="32"/>
      <c r="Q80" s="9"/>
      <c r="R80" s="9"/>
      <c r="S80" s="9"/>
      <c r="T80" s="32"/>
      <c r="U80" s="9"/>
      <c r="V80" s="7"/>
      <c r="W80" s="14"/>
      <c r="X80" s="14"/>
      <c r="Y80" s="14"/>
      <c r="Z80" s="14"/>
      <c r="AA80" s="14"/>
      <c r="AB80" s="14"/>
      <c r="AC80" s="14"/>
      <c r="AD80" s="14"/>
      <c r="AE80" s="14"/>
    </row>
    <row r="81" spans="1:31">
      <c r="A81" s="35"/>
      <c r="B81" s="9"/>
      <c r="C81" s="47"/>
      <c r="D81" s="32"/>
      <c r="E81" s="32"/>
      <c r="F81" s="9"/>
      <c r="G81" s="9"/>
      <c r="H81" s="9"/>
      <c r="I81" s="32"/>
      <c r="J81" s="9"/>
      <c r="K81" s="7"/>
      <c r="L81" s="34"/>
      <c r="M81" s="9"/>
      <c r="N81" s="47"/>
      <c r="O81" s="32"/>
      <c r="P81" s="32"/>
      <c r="Q81" s="9"/>
      <c r="R81" s="9"/>
      <c r="S81" s="9"/>
      <c r="T81" s="32"/>
      <c r="U81" s="9"/>
      <c r="V81" s="7"/>
      <c r="W81" s="14"/>
      <c r="X81" s="14"/>
      <c r="Y81" s="14"/>
      <c r="Z81" s="14"/>
      <c r="AA81" s="14"/>
      <c r="AB81" s="14"/>
      <c r="AC81" s="14"/>
      <c r="AD81" s="14"/>
      <c r="AE81" s="14"/>
    </row>
    <row r="82" spans="1:31">
      <c r="A82" s="35"/>
      <c r="B82" s="9"/>
      <c r="C82" s="32"/>
      <c r="D82" s="32"/>
      <c r="E82" s="32"/>
      <c r="F82" s="9"/>
      <c r="G82" s="9"/>
      <c r="H82" s="9"/>
      <c r="I82" s="32"/>
      <c r="J82" s="9"/>
      <c r="K82" s="7"/>
      <c r="L82" s="34"/>
      <c r="M82" s="9"/>
      <c r="N82" s="47"/>
      <c r="O82" s="32"/>
      <c r="P82" s="32"/>
      <c r="Q82" s="9"/>
      <c r="R82" s="9"/>
      <c r="S82" s="9"/>
      <c r="T82" s="32"/>
      <c r="U82" s="9"/>
      <c r="V82" s="7"/>
      <c r="W82" s="14"/>
      <c r="X82" s="14"/>
      <c r="Y82" s="14"/>
      <c r="Z82" s="14"/>
      <c r="AA82" s="14"/>
      <c r="AB82" s="14"/>
      <c r="AC82" s="14"/>
      <c r="AD82" s="14"/>
      <c r="AE82" s="14"/>
    </row>
    <row r="83" spans="1:31">
      <c r="A83" s="35"/>
      <c r="B83" s="9"/>
      <c r="C83" s="32"/>
      <c r="D83" s="32"/>
      <c r="E83" s="32"/>
      <c r="F83" s="9"/>
      <c r="G83" s="9"/>
      <c r="H83" s="9"/>
      <c r="I83" s="32"/>
      <c r="J83" s="9"/>
      <c r="K83" s="7"/>
      <c r="L83" s="34"/>
      <c r="M83" s="9"/>
      <c r="N83" s="47"/>
      <c r="O83" s="32"/>
      <c r="P83" s="32"/>
      <c r="Q83" s="9"/>
      <c r="R83" s="9"/>
      <c r="S83" s="9"/>
      <c r="T83" s="32"/>
      <c r="U83" s="9"/>
      <c r="V83" s="7"/>
      <c r="W83" s="14"/>
      <c r="X83" s="14"/>
      <c r="Y83" s="14"/>
      <c r="Z83" s="14"/>
      <c r="AA83" s="14"/>
      <c r="AB83" s="14"/>
      <c r="AC83" s="14"/>
      <c r="AD83" s="14"/>
      <c r="AE83" s="14"/>
    </row>
    <row r="84" spans="1:31">
      <c r="A84" s="35"/>
      <c r="B84" s="9"/>
      <c r="C84" s="32"/>
      <c r="D84" s="32"/>
      <c r="E84" s="32"/>
      <c r="F84" s="9"/>
      <c r="G84" s="9"/>
      <c r="H84" s="9"/>
      <c r="I84" s="32"/>
      <c r="J84" s="9"/>
      <c r="K84" s="7"/>
      <c r="L84" s="34"/>
      <c r="M84" s="9"/>
      <c r="N84" s="47"/>
      <c r="O84" s="32"/>
      <c r="P84" s="32"/>
      <c r="Q84" s="9"/>
      <c r="R84" s="9"/>
      <c r="S84" s="9"/>
      <c r="T84" s="32"/>
      <c r="U84" s="9"/>
      <c r="V84" s="7"/>
      <c r="W84" s="14"/>
      <c r="X84" s="14"/>
      <c r="Y84" s="14"/>
      <c r="Z84" s="14"/>
      <c r="AA84" s="14"/>
      <c r="AB84" s="14"/>
      <c r="AC84" s="14"/>
      <c r="AD84" s="14"/>
      <c r="AE84" s="14"/>
    </row>
    <row r="85" spans="1:31">
      <c r="A85" s="35"/>
      <c r="B85" s="9"/>
      <c r="C85" s="47"/>
      <c r="D85" s="32"/>
      <c r="E85" s="32"/>
      <c r="F85" s="9"/>
      <c r="G85" s="9"/>
      <c r="H85" s="9"/>
      <c r="I85" s="32"/>
      <c r="J85" s="9"/>
      <c r="K85" s="7"/>
      <c r="L85" s="34"/>
      <c r="M85" s="9"/>
      <c r="N85" s="47"/>
      <c r="O85" s="32"/>
      <c r="P85" s="32"/>
      <c r="Q85" s="9"/>
      <c r="R85" s="9"/>
      <c r="S85" s="9"/>
      <c r="T85" s="32"/>
      <c r="U85" s="9"/>
      <c r="V85" s="7"/>
      <c r="W85" s="14"/>
      <c r="X85" s="14"/>
      <c r="Y85" s="14"/>
      <c r="Z85" s="14"/>
      <c r="AA85" s="14"/>
      <c r="AB85" s="14"/>
      <c r="AC85" s="14"/>
      <c r="AD85" s="14"/>
      <c r="AE85" s="14"/>
    </row>
    <row r="86" spans="1:31">
      <c r="A86" s="35"/>
      <c r="B86" s="9"/>
      <c r="C86" s="32"/>
      <c r="D86" s="32"/>
      <c r="E86" s="32"/>
      <c r="F86" s="9"/>
      <c r="G86" s="9"/>
      <c r="H86" s="9"/>
      <c r="I86" s="32"/>
      <c r="J86" s="9"/>
      <c r="K86" s="7"/>
      <c r="L86" s="34"/>
      <c r="M86" s="9"/>
      <c r="N86" s="47"/>
      <c r="O86" s="32"/>
      <c r="P86" s="32"/>
      <c r="Q86" s="9"/>
      <c r="R86" s="9"/>
      <c r="S86" s="9"/>
      <c r="T86" s="32"/>
      <c r="U86" s="9"/>
      <c r="V86" s="7"/>
      <c r="W86" s="14"/>
      <c r="X86" s="14"/>
      <c r="Y86" s="14"/>
      <c r="Z86" s="14"/>
      <c r="AA86" s="14"/>
      <c r="AB86" s="14"/>
      <c r="AC86" s="14"/>
      <c r="AD86" s="14"/>
      <c r="AE86" s="14"/>
    </row>
    <row r="87" spans="1:31">
      <c r="A87" s="35"/>
      <c r="B87" s="9"/>
      <c r="C87" s="47"/>
      <c r="D87" s="32"/>
      <c r="E87" s="32"/>
      <c r="F87" s="9"/>
      <c r="G87" s="9"/>
      <c r="H87" s="9"/>
      <c r="I87" s="32"/>
      <c r="J87" s="9"/>
      <c r="K87" s="7"/>
      <c r="L87" s="34"/>
      <c r="M87" s="9"/>
      <c r="N87" s="47"/>
      <c r="O87" s="32"/>
      <c r="P87" s="32"/>
      <c r="Q87" s="9"/>
      <c r="R87" s="9"/>
      <c r="S87" s="9"/>
      <c r="T87" s="32"/>
      <c r="U87" s="9"/>
      <c r="V87" s="7"/>
      <c r="W87" s="14"/>
      <c r="X87" s="14"/>
      <c r="Y87" s="14"/>
      <c r="Z87" s="14"/>
      <c r="AA87" s="14"/>
      <c r="AB87" s="14"/>
      <c r="AC87" s="14"/>
      <c r="AD87" s="14"/>
      <c r="AE87" s="14"/>
    </row>
    <row r="88" spans="1:31">
      <c r="A88" s="35"/>
      <c r="B88" s="9"/>
      <c r="C88" s="32"/>
      <c r="D88" s="32"/>
      <c r="E88" s="32"/>
      <c r="F88" s="9"/>
      <c r="G88" s="9"/>
      <c r="H88" s="9"/>
      <c r="I88" s="32"/>
      <c r="J88" s="9"/>
      <c r="K88" s="7"/>
      <c r="L88" s="34"/>
      <c r="M88" s="9"/>
      <c r="N88" s="47"/>
      <c r="O88" s="32"/>
      <c r="P88" s="32"/>
      <c r="Q88" s="9"/>
      <c r="R88" s="9"/>
      <c r="S88" s="9"/>
      <c r="T88" s="32"/>
      <c r="U88" s="9"/>
      <c r="V88" s="7"/>
      <c r="W88" s="14"/>
      <c r="X88" s="14"/>
      <c r="Y88" s="14"/>
      <c r="Z88" s="14"/>
      <c r="AA88" s="14"/>
      <c r="AB88" s="14"/>
      <c r="AC88" s="14"/>
      <c r="AD88" s="14"/>
      <c r="AE88" s="14"/>
    </row>
    <row r="89" spans="1:31">
      <c r="A89" s="35"/>
      <c r="B89" s="9"/>
      <c r="C89" s="32"/>
      <c r="D89" s="32"/>
      <c r="E89" s="32"/>
      <c r="F89" s="9"/>
      <c r="G89" s="9"/>
      <c r="H89" s="9"/>
      <c r="I89" s="32"/>
      <c r="J89" s="9"/>
      <c r="K89" s="7"/>
      <c r="L89" s="34"/>
      <c r="M89" s="9"/>
      <c r="N89" s="47"/>
      <c r="O89" s="32"/>
      <c r="P89" s="32"/>
      <c r="Q89" s="9"/>
      <c r="R89" s="9"/>
      <c r="S89" s="9"/>
      <c r="T89" s="32"/>
      <c r="U89" s="9"/>
      <c r="V89" s="7"/>
      <c r="W89" s="14"/>
      <c r="X89" s="14"/>
      <c r="Y89" s="14"/>
      <c r="Z89" s="14"/>
      <c r="AA89" s="14"/>
      <c r="AB89" s="14"/>
      <c r="AC89" s="14"/>
      <c r="AD89" s="14"/>
      <c r="AE89" s="14"/>
    </row>
    <row r="90" spans="1:31">
      <c r="A90" s="35"/>
      <c r="B90" s="9"/>
      <c r="C90" s="32"/>
      <c r="D90" s="32"/>
      <c r="E90" s="32"/>
      <c r="F90" s="9"/>
      <c r="G90" s="9"/>
      <c r="H90" s="9"/>
      <c r="I90" s="32"/>
      <c r="J90" s="9"/>
      <c r="K90" s="7"/>
      <c r="L90" s="34"/>
      <c r="M90" s="9"/>
      <c r="N90" s="47"/>
      <c r="O90" s="32"/>
      <c r="P90" s="32"/>
      <c r="Q90" s="9"/>
      <c r="R90" s="9"/>
      <c r="S90" s="9"/>
      <c r="T90" s="32"/>
      <c r="U90" s="9"/>
      <c r="V90" s="7"/>
      <c r="W90" s="14"/>
      <c r="X90" s="14"/>
      <c r="Y90" s="14"/>
      <c r="Z90" s="14"/>
      <c r="AA90" s="14"/>
      <c r="AB90" s="14"/>
      <c r="AC90" s="14"/>
      <c r="AD90" s="14"/>
      <c r="AE90" s="14"/>
    </row>
    <row r="91" spans="1:31">
      <c r="A91" s="35"/>
      <c r="B91" s="9"/>
      <c r="C91" s="32"/>
      <c r="D91" s="32"/>
      <c r="E91" s="32"/>
      <c r="F91" s="9"/>
      <c r="G91" s="9"/>
      <c r="H91" s="9"/>
      <c r="I91" s="32"/>
      <c r="J91" s="9"/>
      <c r="K91" s="7"/>
      <c r="L91" s="34"/>
      <c r="M91" s="9"/>
      <c r="N91" s="47"/>
      <c r="O91" s="32"/>
      <c r="P91" s="32"/>
      <c r="Q91" s="9"/>
      <c r="R91" s="9"/>
      <c r="S91" s="9"/>
      <c r="T91" s="32"/>
      <c r="U91" s="9"/>
      <c r="V91" s="7"/>
      <c r="W91" s="14"/>
      <c r="X91" s="14"/>
      <c r="Y91" s="14"/>
      <c r="Z91" s="14"/>
      <c r="AA91" s="14"/>
      <c r="AB91" s="14"/>
      <c r="AC91" s="14"/>
      <c r="AD91" s="14"/>
      <c r="AE91" s="14"/>
    </row>
    <row r="92" spans="1:31">
      <c r="A92" s="35"/>
      <c r="B92" s="9"/>
      <c r="C92" s="47"/>
      <c r="D92" s="32"/>
      <c r="E92" s="32"/>
      <c r="F92" s="9"/>
      <c r="G92" s="9"/>
      <c r="H92" s="9"/>
      <c r="I92" s="32"/>
      <c r="J92" s="9"/>
      <c r="K92" s="7"/>
      <c r="L92" s="34"/>
      <c r="M92" s="9"/>
      <c r="N92" s="47"/>
      <c r="O92" s="32"/>
      <c r="P92" s="32"/>
      <c r="Q92" s="9"/>
      <c r="R92" s="9"/>
      <c r="S92" s="9"/>
      <c r="T92" s="32"/>
      <c r="U92" s="9"/>
      <c r="V92" s="7"/>
      <c r="W92" s="14"/>
      <c r="X92" s="14"/>
      <c r="Y92" s="14"/>
      <c r="Z92" s="14"/>
      <c r="AA92" s="14"/>
      <c r="AB92" s="14"/>
      <c r="AC92" s="14"/>
      <c r="AD92" s="14"/>
      <c r="AE92" s="14"/>
    </row>
    <row r="93" spans="1:31">
      <c r="A93" s="35"/>
      <c r="B93" s="9"/>
      <c r="C93" s="32"/>
      <c r="D93" s="32"/>
      <c r="E93" s="32"/>
      <c r="F93" s="9"/>
      <c r="G93" s="9"/>
      <c r="H93" s="9"/>
      <c r="I93" s="32"/>
      <c r="J93" s="9"/>
      <c r="K93" s="7"/>
      <c r="L93" s="34"/>
      <c r="M93" s="9"/>
      <c r="N93" s="47"/>
      <c r="O93" s="32"/>
      <c r="P93" s="32"/>
      <c r="Q93" s="9"/>
      <c r="R93" s="9"/>
      <c r="S93" s="9"/>
      <c r="T93" s="32"/>
      <c r="U93" s="9"/>
      <c r="V93" s="7"/>
      <c r="W93" s="14"/>
      <c r="X93" s="14"/>
      <c r="Y93" s="14"/>
      <c r="Z93" s="14"/>
      <c r="AA93" s="14"/>
      <c r="AB93" s="14"/>
      <c r="AC93" s="14"/>
      <c r="AD93" s="14"/>
      <c r="AE93" s="14"/>
    </row>
    <row r="94" spans="1:31">
      <c r="A94" s="35"/>
      <c r="B94" s="9"/>
      <c r="C94" s="32"/>
      <c r="D94" s="32"/>
      <c r="E94" s="32"/>
      <c r="F94" s="9"/>
      <c r="G94" s="9"/>
      <c r="H94" s="9"/>
      <c r="I94" s="32"/>
      <c r="J94" s="9"/>
      <c r="K94" s="7"/>
      <c r="L94" s="34"/>
      <c r="M94" s="9"/>
      <c r="N94" s="47"/>
      <c r="O94" s="32"/>
      <c r="P94" s="32"/>
      <c r="Q94" s="9"/>
      <c r="R94" s="9"/>
      <c r="S94" s="9"/>
      <c r="T94" s="32"/>
      <c r="U94" s="9"/>
      <c r="V94" s="7"/>
      <c r="W94" s="14"/>
      <c r="X94" s="14"/>
      <c r="Y94" s="14"/>
      <c r="Z94" s="14"/>
      <c r="AA94" s="14"/>
      <c r="AB94" s="14"/>
      <c r="AC94" s="14"/>
      <c r="AD94" s="14"/>
      <c r="AE94" s="14"/>
    </row>
    <row r="95" spans="1:31">
      <c r="A95" s="35"/>
      <c r="B95" s="9"/>
      <c r="C95" s="47"/>
      <c r="D95" s="32"/>
      <c r="E95" s="32"/>
      <c r="F95" s="9"/>
      <c r="G95" s="9"/>
      <c r="H95" s="9"/>
      <c r="I95" s="32"/>
      <c r="J95" s="9"/>
      <c r="K95" s="7"/>
      <c r="L95" s="34"/>
      <c r="M95" s="9"/>
      <c r="N95" s="47"/>
      <c r="O95" s="32"/>
      <c r="P95" s="32"/>
      <c r="Q95" s="9"/>
      <c r="R95" s="9"/>
      <c r="S95" s="9"/>
      <c r="T95" s="32"/>
      <c r="U95" s="9"/>
      <c r="V95" s="7"/>
      <c r="W95" s="14"/>
      <c r="X95" s="14"/>
      <c r="Y95" s="14"/>
      <c r="Z95" s="14"/>
      <c r="AA95" s="14"/>
      <c r="AB95" s="14"/>
      <c r="AC95" s="14"/>
      <c r="AD95" s="14"/>
      <c r="AE95" s="14"/>
    </row>
    <row r="96" spans="1:31">
      <c r="A96" s="35"/>
      <c r="B96" s="9"/>
      <c r="C96" s="32"/>
      <c r="D96" s="32"/>
      <c r="E96" s="32"/>
      <c r="F96" s="9"/>
      <c r="G96" s="9"/>
      <c r="H96" s="9"/>
      <c r="I96" s="32"/>
      <c r="J96" s="9"/>
      <c r="K96" s="7"/>
      <c r="L96" s="34"/>
      <c r="M96" s="9"/>
      <c r="N96" s="47"/>
      <c r="O96" s="32"/>
      <c r="P96" s="32"/>
      <c r="Q96" s="9"/>
      <c r="R96" s="9"/>
      <c r="S96" s="9"/>
      <c r="T96" s="32"/>
      <c r="U96" s="9"/>
      <c r="V96" s="7"/>
      <c r="W96" s="14"/>
      <c r="X96" s="14"/>
      <c r="Y96" s="14"/>
      <c r="Z96" s="14"/>
      <c r="AA96" s="14"/>
      <c r="AB96" s="14"/>
      <c r="AC96" s="14"/>
      <c r="AD96" s="14"/>
      <c r="AE96" s="14"/>
    </row>
    <row r="97" spans="1:31">
      <c r="A97" s="35"/>
      <c r="B97" s="9"/>
      <c r="C97" s="32"/>
      <c r="D97" s="32"/>
      <c r="E97" s="32"/>
      <c r="F97" s="9"/>
      <c r="G97" s="9"/>
      <c r="H97" s="9"/>
      <c r="I97" s="32"/>
      <c r="J97" s="9"/>
      <c r="K97" s="7"/>
      <c r="L97" s="34"/>
      <c r="M97" s="9"/>
      <c r="N97" s="47"/>
      <c r="O97" s="32"/>
      <c r="P97" s="32"/>
      <c r="Q97" s="9"/>
      <c r="R97" s="9"/>
      <c r="S97" s="9"/>
      <c r="T97" s="32"/>
      <c r="U97" s="9"/>
      <c r="V97" s="7"/>
      <c r="W97" s="14"/>
      <c r="X97" s="14"/>
      <c r="Y97" s="14"/>
      <c r="Z97" s="14"/>
      <c r="AA97" s="14"/>
      <c r="AB97" s="14"/>
      <c r="AC97" s="14"/>
      <c r="AD97" s="14"/>
      <c r="AE97" s="14"/>
    </row>
    <row r="98" spans="1:31">
      <c r="A98" s="35"/>
      <c r="B98" s="9"/>
      <c r="C98" s="32"/>
      <c r="D98" s="32"/>
      <c r="E98" s="32"/>
      <c r="F98" s="9"/>
      <c r="G98" s="9"/>
      <c r="H98" s="9"/>
      <c r="I98" s="32"/>
      <c r="J98" s="9"/>
      <c r="K98" s="7"/>
      <c r="L98" s="34"/>
      <c r="M98" s="9"/>
      <c r="N98" s="47"/>
      <c r="O98" s="32"/>
      <c r="P98" s="32"/>
      <c r="Q98" s="9"/>
      <c r="R98" s="9"/>
      <c r="S98" s="9"/>
      <c r="T98" s="32"/>
      <c r="U98" s="9"/>
      <c r="V98" s="7"/>
      <c r="W98" s="14"/>
      <c r="X98" s="14"/>
      <c r="Y98" s="14"/>
      <c r="Z98" s="14"/>
      <c r="AA98" s="14"/>
      <c r="AB98" s="14"/>
      <c r="AC98" s="14"/>
      <c r="AD98" s="14"/>
      <c r="AE98" s="14"/>
    </row>
    <row r="99" spans="1:31">
      <c r="A99" s="35"/>
      <c r="B99" s="9"/>
      <c r="C99" s="32"/>
      <c r="D99" s="32"/>
      <c r="E99" s="32"/>
      <c r="F99" s="9"/>
      <c r="G99" s="9"/>
      <c r="H99" s="9"/>
      <c r="I99" s="32"/>
      <c r="J99" s="9"/>
      <c r="K99" s="7"/>
      <c r="L99" s="34"/>
      <c r="M99" s="9"/>
      <c r="N99" s="47"/>
      <c r="O99" s="32"/>
      <c r="P99" s="32"/>
      <c r="Q99" s="9"/>
      <c r="R99" s="9"/>
      <c r="S99" s="9"/>
      <c r="T99" s="32"/>
      <c r="U99" s="9"/>
      <c r="V99" s="7"/>
      <c r="W99" s="14"/>
      <c r="X99" s="14"/>
      <c r="Y99" s="14"/>
      <c r="Z99" s="14"/>
      <c r="AA99" s="14"/>
      <c r="AB99" s="14"/>
      <c r="AC99" s="14"/>
      <c r="AD99" s="14"/>
      <c r="AE99" s="14"/>
    </row>
    <row r="100" spans="1:31">
      <c r="A100" s="35"/>
      <c r="B100" s="9"/>
      <c r="C100" s="47"/>
      <c r="D100" s="32"/>
      <c r="E100" s="32"/>
      <c r="F100" s="9"/>
      <c r="G100" s="9"/>
      <c r="H100" s="9"/>
      <c r="I100" s="32"/>
      <c r="J100" s="9"/>
      <c r="K100" s="7"/>
      <c r="L100" s="34"/>
      <c r="M100" s="9"/>
      <c r="N100" s="47"/>
      <c r="O100" s="32"/>
      <c r="P100" s="32"/>
      <c r="Q100" s="9"/>
      <c r="R100" s="9"/>
      <c r="S100" s="9"/>
      <c r="T100" s="32"/>
      <c r="U100" s="9"/>
      <c r="V100" s="7"/>
      <c r="W100" s="14"/>
      <c r="X100" s="14"/>
      <c r="Y100" s="14"/>
      <c r="Z100" s="14"/>
      <c r="AA100" s="14"/>
      <c r="AB100" s="14"/>
      <c r="AC100" s="14"/>
      <c r="AD100" s="14"/>
      <c r="AE100" s="14"/>
    </row>
    <row r="101" spans="1:31">
      <c r="A101" s="35"/>
      <c r="B101" s="9"/>
      <c r="C101" s="32"/>
      <c r="D101" s="32"/>
      <c r="E101" s="32"/>
      <c r="F101" s="9"/>
      <c r="G101" s="9"/>
      <c r="H101" s="9"/>
      <c r="I101" s="32"/>
      <c r="J101" s="9"/>
      <c r="K101" s="7"/>
      <c r="L101" s="34"/>
      <c r="M101" s="9"/>
      <c r="N101" s="47"/>
      <c r="O101" s="32"/>
      <c r="P101" s="32"/>
      <c r="Q101" s="9"/>
      <c r="R101" s="9"/>
      <c r="S101" s="9"/>
      <c r="T101" s="32"/>
      <c r="U101" s="9"/>
      <c r="V101" s="7"/>
      <c r="W101" s="14"/>
      <c r="X101" s="14"/>
      <c r="Y101" s="14"/>
      <c r="Z101" s="14"/>
      <c r="AA101" s="14"/>
      <c r="AB101" s="14"/>
      <c r="AC101" s="14"/>
      <c r="AD101" s="14"/>
      <c r="AE101" s="14"/>
    </row>
    <row r="102" spans="1:31">
      <c r="A102" s="35"/>
      <c r="B102" s="9"/>
      <c r="C102" s="32"/>
      <c r="D102" s="32"/>
      <c r="E102" s="32"/>
      <c r="F102" s="9"/>
      <c r="G102" s="9"/>
      <c r="H102" s="9"/>
      <c r="I102" s="32"/>
      <c r="J102" s="9"/>
      <c r="K102" s="7"/>
      <c r="L102" s="34"/>
      <c r="M102" s="9"/>
      <c r="N102" s="47"/>
      <c r="O102" s="32"/>
      <c r="P102" s="32"/>
      <c r="Q102" s="9"/>
      <c r="R102" s="9"/>
      <c r="S102" s="9"/>
      <c r="T102" s="32"/>
      <c r="U102" s="9"/>
      <c r="V102" s="7"/>
      <c r="W102" s="14"/>
      <c r="X102" s="14"/>
      <c r="Y102" s="14"/>
      <c r="Z102" s="14"/>
      <c r="AA102" s="14"/>
      <c r="AB102" s="14"/>
      <c r="AC102" s="14"/>
      <c r="AD102" s="14"/>
      <c r="AE102" s="14"/>
    </row>
    <row r="103" spans="1:31">
      <c r="A103" s="35"/>
      <c r="B103" s="9"/>
      <c r="C103" s="47"/>
      <c r="D103" s="32"/>
      <c r="E103" s="32"/>
      <c r="F103" s="9"/>
      <c r="G103" s="9"/>
      <c r="H103" s="9"/>
      <c r="I103" s="32"/>
      <c r="J103" s="9"/>
      <c r="K103" s="7"/>
      <c r="L103" s="34"/>
      <c r="M103" s="9"/>
      <c r="N103" s="47"/>
      <c r="O103" s="32"/>
      <c r="P103" s="32"/>
      <c r="Q103" s="9"/>
      <c r="R103" s="9"/>
      <c r="S103" s="9"/>
      <c r="T103" s="32"/>
      <c r="U103" s="9"/>
      <c r="V103" s="7"/>
      <c r="W103" s="14"/>
      <c r="X103" s="14"/>
      <c r="Y103" s="14"/>
      <c r="Z103" s="14"/>
      <c r="AA103" s="14"/>
      <c r="AB103" s="14"/>
      <c r="AC103" s="14"/>
      <c r="AD103" s="14"/>
      <c r="AE103" s="14"/>
    </row>
    <row r="104" spans="1:31">
      <c r="A104" s="35"/>
      <c r="B104" s="9"/>
      <c r="C104" s="32"/>
      <c r="D104" s="32"/>
      <c r="E104" s="32"/>
      <c r="F104" s="9"/>
      <c r="G104" s="9"/>
      <c r="H104" s="9"/>
      <c r="I104" s="32"/>
      <c r="J104" s="9"/>
      <c r="K104" s="7"/>
      <c r="L104" s="34"/>
      <c r="M104" s="9"/>
      <c r="N104" s="47"/>
      <c r="O104" s="32"/>
      <c r="P104" s="32"/>
      <c r="Q104" s="9"/>
      <c r="R104" s="9"/>
      <c r="S104" s="9"/>
      <c r="T104" s="32"/>
      <c r="U104" s="9"/>
      <c r="V104" s="7"/>
      <c r="W104" s="14"/>
      <c r="X104" s="14"/>
      <c r="Y104" s="14"/>
      <c r="Z104" s="14"/>
      <c r="AA104" s="14"/>
      <c r="AB104" s="14"/>
      <c r="AC104" s="14"/>
      <c r="AD104" s="14"/>
      <c r="AE104" s="14"/>
    </row>
    <row r="105" spans="1:31">
      <c r="A105" s="35"/>
      <c r="B105" s="9"/>
      <c r="C105" s="32"/>
      <c r="D105" s="32"/>
      <c r="E105" s="32"/>
      <c r="F105" s="9"/>
      <c r="G105" s="9"/>
      <c r="H105" s="9"/>
      <c r="I105" s="32"/>
      <c r="J105" s="9"/>
      <c r="K105" s="7"/>
      <c r="L105" s="34"/>
      <c r="M105" s="9"/>
      <c r="N105" s="47"/>
      <c r="O105" s="32"/>
      <c r="P105" s="32"/>
      <c r="Q105" s="9"/>
      <c r="R105" s="9"/>
      <c r="S105" s="9"/>
      <c r="T105" s="32"/>
      <c r="U105" s="9"/>
      <c r="V105" s="7"/>
      <c r="W105" s="14"/>
      <c r="X105" s="14"/>
      <c r="Y105" s="14"/>
      <c r="Z105" s="14"/>
      <c r="AA105" s="14"/>
      <c r="AB105" s="14"/>
      <c r="AC105" s="14"/>
      <c r="AD105" s="14"/>
      <c r="AE105" s="14"/>
    </row>
    <row r="106" spans="1:31">
      <c r="A106" s="35"/>
      <c r="B106" s="9"/>
      <c r="C106" s="32"/>
      <c r="D106" s="32"/>
      <c r="E106" s="32"/>
      <c r="F106" s="9"/>
      <c r="G106" s="9"/>
      <c r="H106" s="9"/>
      <c r="I106" s="32"/>
      <c r="J106" s="9"/>
      <c r="K106" s="7"/>
      <c r="L106" s="34"/>
      <c r="M106" s="9"/>
      <c r="N106" s="47"/>
      <c r="O106" s="32"/>
      <c r="P106" s="32"/>
      <c r="Q106" s="9"/>
      <c r="R106" s="9"/>
      <c r="S106" s="9"/>
      <c r="T106" s="32"/>
      <c r="U106" s="9"/>
      <c r="V106" s="7"/>
      <c r="W106" s="14"/>
      <c r="X106" s="14"/>
      <c r="Y106" s="14"/>
      <c r="Z106" s="14"/>
      <c r="AA106" s="14"/>
      <c r="AB106" s="14"/>
      <c r="AC106" s="14"/>
      <c r="AD106" s="14"/>
      <c r="AE106" s="14"/>
    </row>
    <row r="107" spans="1:31">
      <c r="A107" s="35"/>
      <c r="B107" s="9"/>
      <c r="C107" s="47"/>
      <c r="D107" s="32"/>
      <c r="E107" s="32"/>
      <c r="F107" s="9"/>
      <c r="G107" s="9"/>
      <c r="H107" s="9"/>
      <c r="I107" s="32"/>
      <c r="J107" s="9"/>
      <c r="K107" s="7"/>
      <c r="L107" s="34"/>
      <c r="M107" s="9"/>
      <c r="N107" s="47"/>
      <c r="O107" s="32"/>
      <c r="P107" s="32"/>
      <c r="Q107" s="9"/>
      <c r="R107" s="9"/>
      <c r="S107" s="9"/>
      <c r="T107" s="32"/>
      <c r="U107" s="9"/>
      <c r="V107" s="7"/>
      <c r="W107" s="14"/>
      <c r="X107" s="14"/>
      <c r="Y107" s="14"/>
      <c r="Z107" s="14"/>
      <c r="AA107" s="14"/>
      <c r="AB107" s="14"/>
      <c r="AC107" s="14"/>
      <c r="AD107" s="14"/>
      <c r="AE107" s="14"/>
    </row>
    <row r="108" spans="1:31">
      <c r="A108" s="35"/>
      <c r="B108" s="9"/>
      <c r="C108" s="32"/>
      <c r="D108" s="32"/>
      <c r="E108" s="32"/>
      <c r="F108" s="9"/>
      <c r="G108" s="9"/>
      <c r="H108" s="9"/>
      <c r="I108" s="32"/>
      <c r="J108" s="9"/>
      <c r="K108" s="7"/>
      <c r="L108" s="34"/>
      <c r="M108" s="9"/>
      <c r="N108" s="47"/>
      <c r="O108" s="32"/>
      <c r="P108" s="32"/>
      <c r="Q108" s="9"/>
      <c r="R108" s="9"/>
      <c r="S108" s="9"/>
      <c r="T108" s="32"/>
      <c r="U108" s="9"/>
      <c r="V108" s="7"/>
      <c r="W108" s="14"/>
      <c r="X108" s="14"/>
      <c r="Y108" s="14"/>
      <c r="Z108" s="14"/>
      <c r="AA108" s="14"/>
      <c r="AB108" s="14"/>
      <c r="AC108" s="14"/>
      <c r="AD108" s="14"/>
      <c r="AE108" s="14"/>
    </row>
    <row r="109" spans="1:31">
      <c r="A109" s="35"/>
      <c r="B109" s="9"/>
      <c r="C109" s="47"/>
      <c r="D109" s="32"/>
      <c r="E109" s="32"/>
      <c r="F109" s="9"/>
      <c r="G109" s="9"/>
      <c r="H109" s="9"/>
      <c r="I109" s="32"/>
      <c r="J109" s="9"/>
      <c r="K109" s="7"/>
      <c r="L109" s="34"/>
      <c r="M109" s="9"/>
      <c r="N109" s="47"/>
      <c r="O109" s="32"/>
      <c r="P109" s="32"/>
      <c r="Q109" s="9"/>
      <c r="R109" s="9"/>
      <c r="S109" s="9"/>
      <c r="T109" s="32"/>
      <c r="U109" s="9"/>
      <c r="V109" s="7"/>
      <c r="W109" s="14"/>
      <c r="X109" s="14"/>
      <c r="Y109" s="14"/>
      <c r="Z109" s="14"/>
      <c r="AA109" s="14"/>
      <c r="AB109" s="14"/>
      <c r="AC109" s="14"/>
      <c r="AD109" s="14"/>
      <c r="AE109" s="14"/>
    </row>
    <row r="110" spans="1:31">
      <c r="A110" s="35"/>
      <c r="B110" s="9"/>
      <c r="C110" s="47"/>
      <c r="D110" s="32"/>
      <c r="E110" s="32"/>
      <c r="F110" s="9"/>
      <c r="G110" s="9"/>
      <c r="H110" s="9"/>
      <c r="I110" s="32"/>
      <c r="J110" s="9"/>
      <c r="K110" s="7"/>
      <c r="L110" s="34"/>
      <c r="M110" s="9"/>
      <c r="N110" s="47"/>
      <c r="O110" s="32"/>
      <c r="P110" s="32"/>
      <c r="Q110" s="9"/>
      <c r="R110" s="9"/>
      <c r="S110" s="9"/>
      <c r="T110" s="32"/>
      <c r="U110" s="9"/>
      <c r="V110" s="7"/>
      <c r="W110" s="14"/>
      <c r="X110" s="14"/>
      <c r="Y110" s="14"/>
      <c r="Z110" s="14"/>
      <c r="AA110" s="14"/>
      <c r="AB110" s="14"/>
      <c r="AC110" s="14"/>
      <c r="AD110" s="14"/>
      <c r="AE110" s="14"/>
    </row>
    <row r="111" spans="1:31">
      <c r="A111" s="35"/>
      <c r="B111" s="9"/>
      <c r="C111" s="32"/>
      <c r="D111" s="32"/>
      <c r="E111" s="32"/>
      <c r="F111" s="9"/>
      <c r="G111" s="9"/>
      <c r="H111" s="9"/>
      <c r="I111" s="32"/>
      <c r="J111" s="9"/>
      <c r="K111" s="7"/>
      <c r="L111" s="34"/>
      <c r="M111" s="9"/>
      <c r="N111" s="47"/>
      <c r="O111" s="32"/>
      <c r="P111" s="32"/>
      <c r="Q111" s="9"/>
      <c r="R111" s="9"/>
      <c r="S111" s="9"/>
      <c r="T111" s="32"/>
      <c r="U111" s="9"/>
      <c r="V111" s="7"/>
      <c r="W111" s="14"/>
      <c r="X111" s="14"/>
      <c r="Y111" s="14"/>
      <c r="Z111" s="14"/>
      <c r="AA111" s="14"/>
      <c r="AB111" s="14"/>
      <c r="AC111" s="14"/>
      <c r="AD111" s="14"/>
      <c r="AE111" s="14"/>
    </row>
    <row r="112" spans="1:31">
      <c r="A112" s="35"/>
      <c r="B112" s="9"/>
      <c r="C112" s="32"/>
      <c r="D112" s="32"/>
      <c r="E112" s="32"/>
      <c r="F112" s="9"/>
      <c r="G112" s="9"/>
      <c r="H112" s="9"/>
      <c r="I112" s="32"/>
      <c r="J112" s="9"/>
      <c r="K112" s="7"/>
      <c r="L112" s="34"/>
      <c r="M112" s="9"/>
      <c r="N112" s="47"/>
      <c r="O112" s="32"/>
      <c r="P112" s="32"/>
      <c r="Q112" s="9"/>
      <c r="R112" s="9"/>
      <c r="S112" s="9"/>
      <c r="T112" s="32"/>
      <c r="U112" s="9"/>
      <c r="V112" s="7"/>
      <c r="W112" s="14"/>
      <c r="X112" s="14"/>
      <c r="Y112" s="14"/>
      <c r="Z112" s="14"/>
      <c r="AA112" s="14"/>
      <c r="AB112" s="14"/>
      <c r="AC112" s="14"/>
      <c r="AD112" s="14"/>
      <c r="AE112" s="14"/>
    </row>
    <row r="113" spans="1:31">
      <c r="A113" s="35"/>
      <c r="B113" s="9"/>
      <c r="C113" s="32"/>
      <c r="D113" s="32"/>
      <c r="E113" s="32"/>
      <c r="F113" s="9"/>
      <c r="G113" s="9"/>
      <c r="H113" s="9"/>
      <c r="I113" s="32"/>
      <c r="J113" s="9"/>
      <c r="K113" s="7"/>
      <c r="L113" s="34"/>
      <c r="M113" s="9"/>
      <c r="N113" s="47"/>
      <c r="O113" s="32"/>
      <c r="P113" s="32"/>
      <c r="Q113" s="9"/>
      <c r="R113" s="9"/>
      <c r="S113" s="9"/>
      <c r="T113" s="32"/>
      <c r="U113" s="9"/>
      <c r="V113" s="7"/>
      <c r="W113" s="14"/>
      <c r="X113" s="14"/>
      <c r="Y113" s="14"/>
      <c r="Z113" s="14"/>
      <c r="AA113" s="14"/>
      <c r="AB113" s="14"/>
      <c r="AC113" s="14"/>
      <c r="AD113" s="14"/>
      <c r="AE113" s="14"/>
    </row>
    <row r="114" spans="1:31">
      <c r="A114" s="35"/>
      <c r="B114" s="9"/>
      <c r="C114" s="47"/>
      <c r="D114" s="32"/>
      <c r="E114" s="32"/>
      <c r="F114" s="9"/>
      <c r="G114" s="9"/>
      <c r="H114" s="9"/>
      <c r="I114" s="32"/>
      <c r="J114" s="9"/>
      <c r="K114" s="7"/>
      <c r="L114" s="34"/>
      <c r="M114" s="9"/>
      <c r="N114" s="47"/>
      <c r="O114" s="32"/>
      <c r="P114" s="32"/>
      <c r="Q114" s="9"/>
      <c r="R114" s="9"/>
      <c r="S114" s="9"/>
      <c r="T114" s="32"/>
      <c r="U114" s="9"/>
      <c r="V114" s="7"/>
      <c r="W114" s="14"/>
      <c r="X114" s="14"/>
      <c r="Y114" s="14"/>
      <c r="Z114" s="14"/>
      <c r="AA114" s="14"/>
      <c r="AB114" s="14"/>
      <c r="AC114" s="14"/>
      <c r="AD114" s="14"/>
      <c r="AE114" s="14"/>
    </row>
    <row r="115" spans="1:31">
      <c r="A115" s="35"/>
      <c r="B115" s="9"/>
      <c r="C115" s="32"/>
      <c r="D115" s="32"/>
      <c r="E115" s="32"/>
      <c r="F115" s="9"/>
      <c r="G115" s="9"/>
      <c r="H115" s="9"/>
      <c r="I115" s="32"/>
      <c r="J115" s="9"/>
      <c r="K115" s="7"/>
      <c r="L115" s="34"/>
      <c r="M115" s="9"/>
      <c r="N115" s="47"/>
      <c r="O115" s="32"/>
      <c r="P115" s="32"/>
      <c r="Q115" s="9"/>
      <c r="R115" s="9"/>
      <c r="S115" s="9"/>
      <c r="T115" s="32"/>
      <c r="U115" s="9"/>
      <c r="V115" s="7"/>
      <c r="W115" s="14"/>
      <c r="X115" s="14"/>
      <c r="Y115" s="14"/>
      <c r="Z115" s="14"/>
      <c r="AA115" s="14"/>
      <c r="AB115" s="14"/>
      <c r="AC115" s="14"/>
      <c r="AD115" s="14"/>
      <c r="AE115" s="14"/>
    </row>
    <row r="116" spans="1:31">
      <c r="A116" s="35"/>
      <c r="B116" s="9"/>
      <c r="C116" s="32"/>
      <c r="D116" s="32"/>
      <c r="E116" s="32"/>
      <c r="F116" s="9"/>
      <c r="G116" s="9"/>
      <c r="H116" s="9"/>
      <c r="I116" s="32"/>
      <c r="J116" s="9"/>
      <c r="K116" s="7"/>
      <c r="L116" s="34"/>
      <c r="M116" s="9"/>
      <c r="N116" s="47"/>
      <c r="O116" s="32"/>
      <c r="P116" s="32"/>
      <c r="Q116" s="9"/>
      <c r="R116" s="9"/>
      <c r="S116" s="9"/>
      <c r="T116" s="32"/>
      <c r="U116" s="9"/>
      <c r="V116" s="7"/>
      <c r="W116" s="14"/>
      <c r="X116" s="14"/>
      <c r="Y116" s="14"/>
      <c r="Z116" s="14"/>
      <c r="AA116" s="14"/>
      <c r="AB116" s="14"/>
      <c r="AC116" s="14"/>
      <c r="AD116" s="14"/>
      <c r="AE116" s="14"/>
    </row>
    <row r="117" spans="1:31">
      <c r="A117" s="35"/>
      <c r="B117" s="9"/>
      <c r="C117" s="32"/>
      <c r="D117" s="32"/>
      <c r="E117" s="32"/>
      <c r="F117" s="9"/>
      <c r="G117" s="9"/>
      <c r="H117" s="9"/>
      <c r="I117" s="32"/>
      <c r="J117" s="9"/>
      <c r="K117" s="7"/>
      <c r="L117" s="34"/>
      <c r="M117" s="9"/>
      <c r="N117" s="47"/>
      <c r="O117" s="32"/>
      <c r="P117" s="32"/>
      <c r="Q117" s="9"/>
      <c r="R117" s="9"/>
      <c r="S117" s="9"/>
      <c r="T117" s="32"/>
      <c r="U117" s="9"/>
      <c r="V117" s="7"/>
      <c r="W117" s="14"/>
      <c r="X117" s="14"/>
      <c r="Y117" s="14"/>
      <c r="Z117" s="14"/>
      <c r="AA117" s="14"/>
      <c r="AB117" s="14"/>
      <c r="AC117" s="14"/>
      <c r="AD117" s="14"/>
      <c r="AE117" s="14"/>
    </row>
    <row r="118" spans="1:31">
      <c r="A118" s="35"/>
      <c r="B118" s="9"/>
      <c r="C118" s="32"/>
      <c r="D118" s="32"/>
      <c r="E118" s="32"/>
      <c r="F118" s="9"/>
      <c r="G118" s="9"/>
      <c r="H118" s="9"/>
      <c r="I118" s="32"/>
      <c r="J118" s="9"/>
      <c r="K118" s="7"/>
      <c r="L118" s="34"/>
      <c r="M118" s="9"/>
      <c r="N118" s="47"/>
      <c r="O118" s="32"/>
      <c r="P118" s="32"/>
      <c r="Q118" s="9"/>
      <c r="R118" s="9"/>
      <c r="S118" s="9"/>
      <c r="T118" s="32"/>
      <c r="U118" s="9"/>
      <c r="V118" s="7"/>
      <c r="W118" s="14"/>
      <c r="X118" s="14"/>
      <c r="Y118" s="14"/>
      <c r="Z118" s="14"/>
      <c r="AA118" s="14"/>
      <c r="AB118" s="14"/>
      <c r="AC118" s="14"/>
      <c r="AD118" s="14"/>
      <c r="AE118" s="14"/>
    </row>
    <row r="119" spans="1:31">
      <c r="A119" s="35"/>
      <c r="B119" s="9"/>
      <c r="C119" s="32"/>
      <c r="D119" s="32"/>
      <c r="E119" s="32"/>
      <c r="F119" s="9"/>
      <c r="G119" s="9"/>
      <c r="H119" s="9"/>
      <c r="I119" s="32"/>
      <c r="J119" s="9"/>
      <c r="K119" s="7"/>
      <c r="L119" s="34"/>
      <c r="M119" s="9"/>
      <c r="N119" s="47"/>
      <c r="O119" s="32"/>
      <c r="P119" s="32"/>
      <c r="Q119" s="9"/>
      <c r="R119" s="9"/>
      <c r="S119" s="9"/>
      <c r="T119" s="32"/>
      <c r="U119" s="9"/>
      <c r="V119" s="7"/>
      <c r="W119" s="14"/>
      <c r="X119" s="14"/>
      <c r="Y119" s="14"/>
      <c r="Z119" s="14"/>
      <c r="AA119" s="14"/>
      <c r="AB119" s="14"/>
      <c r="AC119" s="14"/>
      <c r="AD119" s="14"/>
      <c r="AE119" s="14"/>
    </row>
    <row r="120" spans="1:31">
      <c r="A120" s="35"/>
      <c r="B120" s="9"/>
      <c r="C120" s="32"/>
      <c r="D120" s="32"/>
      <c r="E120" s="32"/>
      <c r="F120" s="9"/>
      <c r="G120" s="9"/>
      <c r="H120" s="9"/>
      <c r="I120" s="32"/>
      <c r="J120" s="9"/>
      <c r="K120" s="7"/>
      <c r="L120" s="34"/>
      <c r="M120" s="9"/>
      <c r="N120" s="47"/>
      <c r="O120" s="32"/>
      <c r="P120" s="32"/>
      <c r="Q120" s="9"/>
      <c r="R120" s="9"/>
      <c r="S120" s="9"/>
      <c r="T120" s="32"/>
      <c r="U120" s="9"/>
      <c r="V120" s="7"/>
      <c r="W120" s="14"/>
      <c r="X120" s="14"/>
      <c r="Y120" s="14"/>
      <c r="Z120" s="14"/>
      <c r="AA120" s="14"/>
      <c r="AB120" s="14"/>
      <c r="AC120" s="14"/>
      <c r="AD120" s="14"/>
      <c r="AE120" s="14"/>
    </row>
    <row r="121" spans="1:31">
      <c r="A121" s="35"/>
      <c r="B121" s="9"/>
      <c r="C121" s="32"/>
      <c r="D121" s="32"/>
      <c r="E121" s="32"/>
      <c r="F121" s="9"/>
      <c r="G121" s="9"/>
      <c r="H121" s="9"/>
      <c r="I121" s="32"/>
      <c r="J121" s="9"/>
      <c r="K121" s="7"/>
      <c r="L121" s="34"/>
      <c r="M121" s="9"/>
      <c r="N121" s="47"/>
      <c r="O121" s="32"/>
      <c r="P121" s="32"/>
      <c r="Q121" s="9"/>
      <c r="R121" s="9"/>
      <c r="S121" s="9"/>
      <c r="T121" s="32"/>
      <c r="U121" s="9"/>
      <c r="V121" s="7"/>
      <c r="W121" s="14"/>
      <c r="X121" s="14"/>
      <c r="Y121" s="14"/>
      <c r="Z121" s="14"/>
      <c r="AA121" s="14"/>
      <c r="AB121" s="14"/>
      <c r="AC121" s="14"/>
      <c r="AD121" s="14"/>
      <c r="AE121" s="14"/>
    </row>
    <row r="122" spans="1:31">
      <c r="A122" s="35"/>
      <c r="B122" s="9"/>
      <c r="C122" s="32"/>
      <c r="D122" s="32"/>
      <c r="E122" s="32"/>
      <c r="F122" s="9"/>
      <c r="G122" s="9"/>
      <c r="H122" s="9"/>
      <c r="I122" s="32"/>
      <c r="J122" s="9"/>
      <c r="K122" s="7"/>
      <c r="L122" s="34"/>
      <c r="M122" s="9"/>
      <c r="N122" s="47"/>
      <c r="O122" s="32"/>
      <c r="P122" s="32"/>
      <c r="Q122" s="9"/>
      <c r="R122" s="9"/>
      <c r="S122" s="9"/>
      <c r="T122" s="32"/>
      <c r="U122" s="9"/>
      <c r="V122" s="7"/>
      <c r="W122" s="14"/>
      <c r="X122" s="14"/>
      <c r="Y122" s="14"/>
      <c r="Z122" s="14"/>
      <c r="AA122" s="14"/>
      <c r="AB122" s="14"/>
      <c r="AC122" s="14"/>
      <c r="AD122" s="14"/>
      <c r="AE122" s="14"/>
    </row>
    <row r="123" spans="1:31">
      <c r="A123" s="35"/>
      <c r="B123" s="9"/>
      <c r="C123" s="32"/>
      <c r="D123" s="32"/>
      <c r="E123" s="32"/>
      <c r="F123" s="9"/>
      <c r="G123" s="9"/>
      <c r="H123" s="9"/>
      <c r="I123" s="32"/>
      <c r="J123" s="9"/>
      <c r="K123" s="7"/>
      <c r="L123" s="34"/>
      <c r="M123" s="9"/>
      <c r="N123" s="47"/>
      <c r="O123" s="32"/>
      <c r="P123" s="32"/>
      <c r="Q123" s="9"/>
      <c r="R123" s="9"/>
      <c r="S123" s="9"/>
      <c r="T123" s="32"/>
      <c r="U123" s="9"/>
      <c r="V123" s="7"/>
      <c r="W123" s="14"/>
      <c r="X123" s="14"/>
      <c r="Y123" s="14"/>
      <c r="Z123" s="14"/>
      <c r="AA123" s="14"/>
      <c r="AB123" s="14"/>
      <c r="AC123" s="14"/>
      <c r="AD123" s="14"/>
      <c r="AE123" s="14"/>
    </row>
    <row r="124" spans="1:31">
      <c r="A124" s="35"/>
      <c r="B124" s="9"/>
      <c r="C124" s="32"/>
      <c r="D124" s="32"/>
      <c r="E124" s="32"/>
      <c r="F124" s="9"/>
      <c r="G124" s="9"/>
      <c r="H124" s="9"/>
      <c r="I124" s="32"/>
      <c r="J124" s="9"/>
      <c r="K124" s="7"/>
      <c r="L124" s="34"/>
      <c r="M124" s="9"/>
      <c r="N124" s="47"/>
      <c r="O124" s="43"/>
      <c r="P124" s="32"/>
      <c r="Q124" s="9"/>
      <c r="R124" s="9"/>
      <c r="S124" s="9"/>
      <c r="T124" s="32"/>
      <c r="U124" s="9"/>
      <c r="V124" s="7"/>
      <c r="W124" s="14"/>
      <c r="X124" s="14"/>
      <c r="Y124" s="14"/>
      <c r="Z124" s="14"/>
      <c r="AA124" s="14"/>
      <c r="AB124" s="14"/>
      <c r="AC124" s="14"/>
      <c r="AD124" s="14"/>
      <c r="AE124" s="14"/>
    </row>
    <row r="125" spans="1:31">
      <c r="A125" s="35"/>
      <c r="B125" s="9"/>
      <c r="C125" s="32"/>
      <c r="D125" s="32"/>
      <c r="E125" s="32"/>
      <c r="F125" s="9"/>
      <c r="G125" s="9"/>
      <c r="H125" s="9"/>
      <c r="I125" s="32"/>
      <c r="J125" s="9"/>
      <c r="K125" s="7"/>
      <c r="L125" s="34"/>
      <c r="M125" s="9"/>
      <c r="N125" s="47"/>
      <c r="O125" s="32"/>
      <c r="P125" s="32"/>
      <c r="Q125" s="9"/>
      <c r="R125" s="9"/>
      <c r="S125" s="9"/>
      <c r="T125" s="32"/>
      <c r="U125" s="9"/>
      <c r="V125" s="7"/>
      <c r="W125" s="14"/>
      <c r="X125" s="14"/>
      <c r="Y125" s="14"/>
      <c r="Z125" s="14"/>
      <c r="AA125" s="14"/>
      <c r="AB125" s="14"/>
      <c r="AC125" s="14"/>
      <c r="AD125" s="14"/>
      <c r="AE125" s="14"/>
    </row>
    <row r="126" spans="1:31">
      <c r="A126" s="35"/>
      <c r="B126" s="9"/>
      <c r="C126" s="32"/>
      <c r="D126" s="32"/>
      <c r="E126" s="32"/>
      <c r="F126" s="9"/>
      <c r="G126" s="9"/>
      <c r="H126" s="9"/>
      <c r="I126" s="32"/>
      <c r="J126" s="9"/>
      <c r="K126" s="7"/>
      <c r="L126" s="34"/>
      <c r="M126" s="9"/>
      <c r="N126" s="47"/>
      <c r="O126" s="32"/>
      <c r="P126" s="32"/>
      <c r="Q126" s="9"/>
      <c r="R126" s="9"/>
      <c r="S126" s="9"/>
      <c r="T126" s="32"/>
      <c r="U126" s="9"/>
      <c r="V126" s="7"/>
      <c r="W126" s="14"/>
      <c r="X126" s="14"/>
      <c r="Y126" s="14"/>
      <c r="Z126" s="14"/>
      <c r="AA126" s="14"/>
      <c r="AB126" s="14"/>
      <c r="AC126" s="14"/>
      <c r="AD126" s="14"/>
      <c r="AE126" s="14"/>
    </row>
    <row r="127" spans="1:31">
      <c r="A127" s="35"/>
      <c r="B127" s="9"/>
      <c r="C127" s="32"/>
      <c r="D127" s="32"/>
      <c r="E127" s="32"/>
      <c r="F127" s="9"/>
      <c r="G127" s="9"/>
      <c r="H127" s="9"/>
      <c r="I127" s="32"/>
      <c r="J127" s="9"/>
      <c r="K127" s="7"/>
      <c r="L127" s="34"/>
      <c r="M127" s="9"/>
      <c r="N127" s="47"/>
      <c r="O127" s="32"/>
      <c r="P127" s="32"/>
      <c r="Q127" s="9"/>
      <c r="R127" s="9"/>
      <c r="S127" s="9"/>
      <c r="T127" s="32"/>
      <c r="U127" s="9"/>
      <c r="V127" s="7"/>
      <c r="W127" s="14"/>
      <c r="X127" s="14"/>
      <c r="Y127" s="14"/>
      <c r="Z127" s="14"/>
      <c r="AA127" s="14"/>
      <c r="AB127" s="14"/>
      <c r="AC127" s="14"/>
      <c r="AD127" s="14"/>
      <c r="AE127" s="14"/>
    </row>
    <row r="128" spans="1:31">
      <c r="A128" s="35"/>
      <c r="B128" s="9"/>
      <c r="C128" s="32"/>
      <c r="D128" s="32"/>
      <c r="E128" s="32"/>
      <c r="F128" s="9"/>
      <c r="G128" s="9"/>
      <c r="H128" s="9"/>
      <c r="I128" s="32"/>
      <c r="J128" s="9"/>
      <c r="K128" s="7"/>
      <c r="L128" s="34"/>
      <c r="M128" s="9"/>
      <c r="N128" s="47"/>
      <c r="O128" s="32"/>
      <c r="P128" s="32"/>
      <c r="Q128" s="9"/>
      <c r="R128" s="9"/>
      <c r="S128" s="9"/>
      <c r="T128" s="32"/>
      <c r="U128" s="9"/>
      <c r="V128" s="7"/>
      <c r="W128" s="14"/>
      <c r="X128" s="14"/>
      <c r="Y128" s="14"/>
      <c r="Z128" s="14"/>
      <c r="AA128" s="14"/>
      <c r="AB128" s="14"/>
      <c r="AC128" s="14"/>
      <c r="AD128" s="14"/>
      <c r="AE128" s="14"/>
    </row>
    <row r="129" spans="1:31">
      <c r="A129" s="35"/>
      <c r="B129" s="9"/>
      <c r="C129" s="32"/>
      <c r="D129" s="32"/>
      <c r="E129" s="32"/>
      <c r="F129" s="9"/>
      <c r="G129" s="9"/>
      <c r="H129" s="9"/>
      <c r="I129" s="32"/>
      <c r="J129" s="9"/>
      <c r="K129" s="7"/>
      <c r="L129" s="34"/>
      <c r="M129" s="9"/>
      <c r="N129" s="47"/>
      <c r="O129" s="32"/>
      <c r="P129" s="32"/>
      <c r="Q129" s="9"/>
      <c r="R129" s="9"/>
      <c r="S129" s="9"/>
      <c r="T129" s="32"/>
      <c r="U129" s="9"/>
      <c r="V129" s="7"/>
      <c r="W129" s="14"/>
      <c r="X129" s="14"/>
      <c r="Y129" s="14"/>
      <c r="Z129" s="14"/>
      <c r="AA129" s="14"/>
      <c r="AB129" s="14"/>
      <c r="AC129" s="14"/>
      <c r="AD129" s="14"/>
      <c r="AE129" s="14"/>
    </row>
    <row r="130" spans="1:31">
      <c r="A130" s="35"/>
      <c r="B130" s="9"/>
      <c r="C130" s="32"/>
      <c r="D130" s="32"/>
      <c r="E130" s="32"/>
      <c r="F130" s="9"/>
      <c r="G130" s="9"/>
      <c r="H130" s="9"/>
      <c r="I130" s="32"/>
      <c r="J130" s="9"/>
      <c r="K130" s="7"/>
      <c r="L130" s="34"/>
      <c r="M130" s="9"/>
      <c r="N130" s="47"/>
      <c r="O130" s="32"/>
      <c r="P130" s="32"/>
      <c r="Q130" s="9"/>
      <c r="R130" s="9"/>
      <c r="S130" s="9"/>
      <c r="T130" s="32"/>
      <c r="U130" s="9"/>
      <c r="V130" s="7"/>
      <c r="W130" s="14"/>
      <c r="X130" s="14"/>
      <c r="Y130" s="14"/>
      <c r="Z130" s="14"/>
      <c r="AA130" s="14"/>
      <c r="AB130" s="14"/>
      <c r="AC130" s="14"/>
      <c r="AD130" s="14"/>
      <c r="AE130" s="14"/>
    </row>
    <row r="131" spans="1:31">
      <c r="A131" s="35"/>
      <c r="B131" s="9"/>
      <c r="C131" s="32"/>
      <c r="D131" s="32"/>
      <c r="E131" s="32"/>
      <c r="F131" s="9"/>
      <c r="G131" s="9"/>
      <c r="H131" s="9"/>
      <c r="I131" s="32"/>
      <c r="J131" s="9"/>
      <c r="K131" s="7"/>
      <c r="L131" s="34"/>
      <c r="M131" s="9"/>
      <c r="N131" s="47"/>
      <c r="O131" s="32"/>
      <c r="P131" s="32"/>
      <c r="Q131" s="9"/>
      <c r="R131" s="9"/>
      <c r="S131" s="9"/>
      <c r="T131" s="32"/>
      <c r="U131" s="9"/>
      <c r="V131" s="7"/>
      <c r="W131" s="14"/>
      <c r="X131" s="14"/>
      <c r="Y131" s="14"/>
      <c r="Z131" s="14"/>
      <c r="AA131" s="14"/>
      <c r="AB131" s="14"/>
      <c r="AC131" s="14"/>
      <c r="AD131" s="14"/>
      <c r="AE131" s="14"/>
    </row>
    <row r="132" spans="1:31">
      <c r="A132" s="35"/>
      <c r="B132" s="9"/>
      <c r="C132" s="32"/>
      <c r="D132" s="32"/>
      <c r="E132" s="32"/>
      <c r="F132" s="9"/>
      <c r="G132" s="9"/>
      <c r="H132" s="9"/>
      <c r="I132" s="32"/>
      <c r="J132" s="9"/>
      <c r="K132" s="7"/>
      <c r="L132" s="34"/>
      <c r="M132" s="9"/>
      <c r="N132" s="47"/>
      <c r="O132" s="32"/>
      <c r="P132" s="32"/>
      <c r="Q132" s="9"/>
      <c r="R132" s="9"/>
      <c r="S132" s="9"/>
      <c r="T132" s="32"/>
      <c r="U132" s="9"/>
      <c r="V132" s="7"/>
      <c r="W132" s="14"/>
      <c r="X132" s="14"/>
      <c r="Y132" s="14"/>
      <c r="Z132" s="14"/>
      <c r="AA132" s="14"/>
      <c r="AB132" s="14"/>
      <c r="AC132" s="14"/>
      <c r="AD132" s="14"/>
      <c r="AE132" s="14"/>
    </row>
    <row r="133" spans="1:31">
      <c r="A133" s="35"/>
      <c r="B133" s="9"/>
      <c r="C133" s="32"/>
      <c r="D133" s="32"/>
      <c r="E133" s="32"/>
      <c r="F133" s="9"/>
      <c r="G133" s="9"/>
      <c r="H133" s="9"/>
      <c r="I133" s="32"/>
      <c r="J133" s="9"/>
      <c r="K133" s="7"/>
      <c r="L133" s="34"/>
      <c r="M133" s="9"/>
      <c r="N133" s="47"/>
      <c r="O133" s="32"/>
      <c r="P133" s="32"/>
      <c r="Q133" s="9"/>
      <c r="R133" s="9"/>
      <c r="S133" s="9"/>
      <c r="T133" s="32"/>
      <c r="U133" s="9"/>
      <c r="V133" s="7"/>
      <c r="W133" s="14"/>
      <c r="X133" s="14"/>
      <c r="Y133" s="14"/>
      <c r="Z133" s="14"/>
      <c r="AA133" s="14"/>
      <c r="AB133" s="14"/>
      <c r="AC133" s="14"/>
      <c r="AD133" s="14"/>
      <c r="AE133" s="14"/>
    </row>
    <row r="134" spans="1:31">
      <c r="A134" s="35"/>
      <c r="B134" s="9"/>
      <c r="C134" s="32"/>
      <c r="D134" s="32"/>
      <c r="E134" s="32"/>
      <c r="F134" s="9"/>
      <c r="G134" s="9"/>
      <c r="H134" s="9"/>
      <c r="I134" s="32"/>
      <c r="J134" s="9"/>
      <c r="K134" s="7"/>
      <c r="L134" s="34"/>
      <c r="M134" s="9"/>
      <c r="N134" s="47"/>
      <c r="O134" s="32"/>
      <c r="P134" s="32"/>
      <c r="Q134" s="9"/>
      <c r="R134" s="9"/>
      <c r="S134" s="9"/>
      <c r="T134" s="32"/>
      <c r="U134" s="9"/>
      <c r="V134" s="7"/>
      <c r="W134" s="14"/>
      <c r="X134" s="14"/>
      <c r="Y134" s="14"/>
      <c r="Z134" s="14"/>
      <c r="AA134" s="14"/>
      <c r="AB134" s="14"/>
      <c r="AC134" s="14"/>
      <c r="AD134" s="14"/>
      <c r="AE134" s="14"/>
    </row>
    <row r="135" spans="1:31">
      <c r="A135" s="35"/>
      <c r="B135" s="9"/>
      <c r="C135" s="32"/>
      <c r="D135" s="32"/>
      <c r="E135" s="32"/>
      <c r="F135" s="9"/>
      <c r="G135" s="9"/>
      <c r="H135" s="9"/>
      <c r="I135" s="32"/>
      <c r="J135" s="9"/>
      <c r="K135" s="7"/>
      <c r="L135" s="34"/>
      <c r="M135" s="9"/>
      <c r="N135" s="47"/>
      <c r="O135" s="32"/>
      <c r="P135" s="32"/>
      <c r="Q135" s="9"/>
      <c r="R135" s="9"/>
      <c r="S135" s="9"/>
      <c r="T135" s="32"/>
      <c r="U135" s="9"/>
      <c r="V135" s="7"/>
      <c r="W135" s="14"/>
      <c r="X135" s="14"/>
      <c r="Y135" s="14"/>
      <c r="Z135" s="14"/>
      <c r="AA135" s="14"/>
      <c r="AB135" s="14"/>
      <c r="AC135" s="14"/>
      <c r="AD135" s="14"/>
      <c r="AE135" s="14"/>
    </row>
    <row r="136" spans="1:31">
      <c r="A136" s="35"/>
      <c r="B136" s="9"/>
      <c r="C136" s="32"/>
      <c r="D136" s="32"/>
      <c r="E136" s="32"/>
      <c r="F136" s="9"/>
      <c r="G136" s="9"/>
      <c r="H136" s="9"/>
      <c r="I136" s="32"/>
      <c r="J136" s="9"/>
      <c r="K136" s="7"/>
      <c r="L136" s="34"/>
      <c r="M136" s="9"/>
      <c r="N136" s="47"/>
      <c r="O136" s="32"/>
      <c r="P136" s="32"/>
      <c r="Q136" s="9"/>
      <c r="R136" s="9"/>
      <c r="S136" s="9"/>
      <c r="T136" s="32"/>
      <c r="U136" s="9"/>
      <c r="V136" s="7"/>
      <c r="W136" s="14"/>
      <c r="X136" s="14"/>
      <c r="Y136" s="14"/>
      <c r="Z136" s="14"/>
      <c r="AA136" s="14"/>
      <c r="AB136" s="14"/>
      <c r="AC136" s="14"/>
      <c r="AD136" s="14"/>
      <c r="AE136" s="14"/>
    </row>
    <row r="137" spans="1:31">
      <c r="A137" s="35"/>
      <c r="B137" s="9"/>
      <c r="C137" s="32"/>
      <c r="D137" s="32"/>
      <c r="E137" s="32"/>
      <c r="F137" s="9"/>
      <c r="G137" s="9"/>
      <c r="H137" s="9"/>
      <c r="I137" s="32"/>
      <c r="J137" s="9"/>
      <c r="K137" s="7"/>
      <c r="L137" s="34"/>
      <c r="M137" s="9"/>
      <c r="N137" s="47"/>
      <c r="O137" s="32"/>
      <c r="P137" s="32"/>
      <c r="Q137" s="9"/>
      <c r="R137" s="9"/>
      <c r="S137" s="9"/>
      <c r="T137" s="32"/>
      <c r="U137" s="9"/>
      <c r="V137" s="7"/>
      <c r="W137" s="14"/>
      <c r="X137" s="14"/>
      <c r="Y137" s="14"/>
      <c r="Z137" s="14"/>
      <c r="AA137" s="14"/>
      <c r="AB137" s="14"/>
      <c r="AC137" s="14"/>
      <c r="AD137" s="14"/>
      <c r="AE137" s="14"/>
    </row>
    <row r="138" spans="1:31">
      <c r="A138" s="35"/>
      <c r="B138" s="9"/>
      <c r="C138" s="32"/>
      <c r="D138" s="32"/>
      <c r="E138" s="32"/>
      <c r="F138" s="9"/>
      <c r="G138" s="9"/>
      <c r="H138" s="9"/>
      <c r="I138" s="32"/>
      <c r="J138" s="9"/>
      <c r="K138" s="7"/>
      <c r="L138" s="34"/>
      <c r="M138" s="9"/>
      <c r="N138" s="47"/>
      <c r="O138" s="32"/>
      <c r="P138" s="32"/>
      <c r="Q138" s="9"/>
      <c r="R138" s="9"/>
      <c r="S138" s="9"/>
      <c r="T138" s="32"/>
      <c r="U138" s="9"/>
      <c r="V138" s="7"/>
      <c r="W138" s="14"/>
      <c r="X138" s="14"/>
      <c r="Y138" s="14"/>
      <c r="Z138" s="14"/>
      <c r="AA138" s="14"/>
      <c r="AB138" s="14"/>
      <c r="AC138" s="14"/>
      <c r="AD138" s="14"/>
      <c r="AE138" s="14"/>
    </row>
    <row r="139" spans="1:31">
      <c r="A139" s="35"/>
      <c r="B139" s="9"/>
      <c r="C139" s="32"/>
      <c r="D139" s="32"/>
      <c r="E139" s="32"/>
      <c r="F139" s="9"/>
      <c r="G139" s="9"/>
      <c r="H139" s="9"/>
      <c r="I139" s="32"/>
      <c r="J139" s="9"/>
      <c r="K139" s="7"/>
      <c r="L139" s="34"/>
      <c r="M139" s="9"/>
      <c r="N139" s="47"/>
      <c r="O139" s="32"/>
      <c r="P139" s="32"/>
      <c r="Q139" s="9"/>
      <c r="R139" s="9"/>
      <c r="S139" s="9"/>
      <c r="T139" s="32"/>
      <c r="U139" s="9"/>
      <c r="V139" s="7"/>
      <c r="W139" s="14"/>
      <c r="X139" s="14"/>
      <c r="Y139" s="14"/>
      <c r="Z139" s="14"/>
      <c r="AA139" s="14"/>
      <c r="AB139" s="14"/>
      <c r="AC139" s="14"/>
      <c r="AD139" s="14"/>
      <c r="AE139" s="14"/>
    </row>
    <row r="140" spans="1:31">
      <c r="A140" s="35"/>
      <c r="B140" s="9"/>
      <c r="C140" s="32"/>
      <c r="D140" s="32"/>
      <c r="E140" s="32"/>
      <c r="F140" s="9"/>
      <c r="G140" s="9"/>
      <c r="H140" s="9"/>
      <c r="I140" s="32"/>
      <c r="J140" s="9"/>
      <c r="K140" s="7"/>
      <c r="L140" s="34"/>
      <c r="M140" s="9"/>
      <c r="N140" s="47"/>
      <c r="O140" s="32"/>
      <c r="P140" s="32"/>
      <c r="Q140" s="9"/>
      <c r="R140" s="9"/>
      <c r="S140" s="9"/>
      <c r="T140" s="32"/>
      <c r="U140" s="9"/>
      <c r="V140" s="7"/>
      <c r="W140" s="14"/>
      <c r="X140" s="14"/>
      <c r="Y140" s="14"/>
      <c r="Z140" s="14"/>
      <c r="AA140" s="14"/>
      <c r="AB140" s="14"/>
      <c r="AC140" s="14"/>
      <c r="AD140" s="14"/>
      <c r="AE140" s="14"/>
    </row>
    <row r="141" spans="1:31">
      <c r="A141" s="35"/>
      <c r="B141" s="9"/>
      <c r="C141" s="32"/>
      <c r="D141" s="32"/>
      <c r="E141" s="32"/>
      <c r="F141" s="9"/>
      <c r="G141" s="9"/>
      <c r="H141" s="9"/>
      <c r="I141" s="32"/>
      <c r="J141" s="9"/>
      <c r="K141" s="7"/>
      <c r="L141" s="34"/>
      <c r="M141" s="9"/>
      <c r="N141" s="47"/>
      <c r="O141" s="32"/>
      <c r="P141" s="32"/>
      <c r="Q141" s="9"/>
      <c r="R141" s="9"/>
      <c r="S141" s="9"/>
      <c r="T141" s="32"/>
      <c r="U141" s="9"/>
      <c r="V141" s="7"/>
      <c r="W141" s="14"/>
      <c r="X141" s="14"/>
      <c r="Y141" s="14"/>
      <c r="Z141" s="14"/>
      <c r="AA141" s="14"/>
      <c r="AB141" s="14"/>
      <c r="AC141" s="14"/>
      <c r="AD141" s="14"/>
      <c r="AE141" s="14"/>
    </row>
    <row r="142" spans="1:31">
      <c r="A142" s="35"/>
      <c r="B142" s="9"/>
      <c r="C142" s="32"/>
      <c r="D142" s="32"/>
      <c r="E142" s="32"/>
      <c r="F142" s="9"/>
      <c r="G142" s="9"/>
      <c r="H142" s="9"/>
      <c r="I142" s="32"/>
      <c r="J142" s="9"/>
      <c r="K142" s="7"/>
      <c r="L142" s="34"/>
      <c r="M142" s="9"/>
      <c r="N142" s="47"/>
      <c r="O142" s="32"/>
      <c r="P142" s="32"/>
      <c r="Q142" s="9"/>
      <c r="R142" s="9"/>
      <c r="S142" s="9"/>
      <c r="T142" s="32"/>
      <c r="U142" s="9"/>
      <c r="V142" s="7"/>
      <c r="W142" s="14"/>
      <c r="X142" s="14"/>
      <c r="Y142" s="14"/>
      <c r="Z142" s="14"/>
      <c r="AA142" s="14"/>
      <c r="AB142" s="14"/>
      <c r="AC142" s="14"/>
      <c r="AD142" s="14"/>
      <c r="AE142" s="14"/>
    </row>
    <row r="143" spans="1:31">
      <c r="A143" s="35"/>
      <c r="B143" s="9"/>
      <c r="C143" s="32"/>
      <c r="D143" s="32"/>
      <c r="E143" s="32"/>
      <c r="F143" s="9"/>
      <c r="G143" s="9"/>
      <c r="H143" s="9"/>
      <c r="I143" s="32"/>
      <c r="J143" s="9"/>
      <c r="K143" s="7"/>
      <c r="L143" s="34"/>
      <c r="M143" s="9"/>
      <c r="N143" s="47"/>
      <c r="O143" s="32"/>
      <c r="P143" s="32"/>
      <c r="Q143" s="9"/>
      <c r="R143" s="9"/>
      <c r="S143" s="9"/>
      <c r="T143" s="32"/>
      <c r="U143" s="9"/>
      <c r="V143" s="7"/>
      <c r="W143" s="14"/>
      <c r="X143" s="14"/>
      <c r="Y143" s="14"/>
      <c r="Z143" s="14"/>
      <c r="AA143" s="14"/>
      <c r="AB143" s="14"/>
      <c r="AC143" s="14"/>
      <c r="AD143" s="14"/>
      <c r="AE143" s="14"/>
    </row>
    <row r="144" spans="1:31">
      <c r="A144" s="44"/>
      <c r="B144" s="9"/>
      <c r="C144" s="32"/>
      <c r="D144" s="32"/>
      <c r="E144" s="32"/>
      <c r="F144" s="9"/>
      <c r="G144" s="9"/>
      <c r="H144" s="9"/>
      <c r="I144" s="32"/>
      <c r="J144" s="9"/>
      <c r="K144" s="7"/>
      <c r="L144" s="45"/>
      <c r="M144" s="9"/>
      <c r="N144" s="47"/>
      <c r="O144" s="32"/>
      <c r="P144" s="32"/>
      <c r="Q144" s="9"/>
      <c r="R144" s="9"/>
      <c r="S144" s="9"/>
      <c r="T144" s="32"/>
      <c r="U144" s="9"/>
      <c r="V144" s="7"/>
      <c r="W144" s="14"/>
      <c r="X144" s="14"/>
      <c r="Y144" s="14"/>
      <c r="Z144" s="14"/>
      <c r="AA144" s="14"/>
      <c r="AB144" s="14"/>
      <c r="AC144" s="14"/>
      <c r="AD144" s="14"/>
      <c r="AE144" s="14"/>
    </row>
    <row r="145" spans="1:31">
      <c r="A145" s="44"/>
      <c r="B145" s="9"/>
      <c r="C145" s="32"/>
      <c r="D145" s="32"/>
      <c r="E145" s="32"/>
      <c r="F145" s="9"/>
      <c r="G145" s="9"/>
      <c r="H145" s="9"/>
      <c r="I145" s="32"/>
      <c r="J145" s="9"/>
      <c r="K145" s="7"/>
      <c r="L145" s="45"/>
      <c r="M145" s="9"/>
      <c r="N145" s="47"/>
      <c r="O145" s="32"/>
      <c r="P145" s="32"/>
      <c r="Q145" s="9"/>
      <c r="R145" s="9"/>
      <c r="S145" s="9"/>
      <c r="T145" s="32"/>
      <c r="U145" s="9"/>
      <c r="V145" s="7"/>
      <c r="W145" s="14"/>
      <c r="X145" s="14"/>
      <c r="Y145" s="14"/>
      <c r="Z145" s="14"/>
      <c r="AA145" s="14"/>
      <c r="AB145" s="14"/>
      <c r="AC145" s="14"/>
      <c r="AD145" s="14"/>
      <c r="AE145" s="14"/>
    </row>
    <row r="146" spans="1:31">
      <c r="A146" s="44"/>
      <c r="B146" s="9"/>
      <c r="C146" s="32"/>
      <c r="D146" s="32"/>
      <c r="E146" s="32"/>
      <c r="F146" s="9"/>
      <c r="G146" s="9"/>
      <c r="H146" s="9"/>
      <c r="I146" s="32"/>
      <c r="J146" s="9"/>
      <c r="K146" s="7"/>
      <c r="L146" s="45"/>
      <c r="M146" s="9"/>
      <c r="N146" s="47"/>
      <c r="O146" s="32"/>
      <c r="P146" s="32"/>
      <c r="Q146" s="9"/>
      <c r="R146" s="9"/>
      <c r="S146" s="9"/>
      <c r="T146" s="32"/>
      <c r="U146" s="9"/>
      <c r="V146" s="7"/>
      <c r="W146" s="14"/>
      <c r="X146" s="14"/>
      <c r="Y146" s="14"/>
      <c r="Z146" s="14"/>
      <c r="AA146" s="14"/>
      <c r="AB146" s="14"/>
      <c r="AC146" s="14"/>
      <c r="AD146" s="14"/>
      <c r="AE146" s="14"/>
    </row>
    <row r="147" spans="1:31">
      <c r="A147" s="44"/>
      <c r="B147" s="9"/>
      <c r="C147" s="32"/>
      <c r="D147" s="32"/>
      <c r="E147" s="32"/>
      <c r="F147" s="9"/>
      <c r="G147" s="9"/>
      <c r="H147" s="9"/>
      <c r="I147" s="32"/>
      <c r="J147" s="9"/>
      <c r="K147" s="7"/>
      <c r="L147" s="45"/>
      <c r="M147" s="9"/>
      <c r="N147" s="47"/>
      <c r="O147" s="32"/>
      <c r="P147" s="32"/>
      <c r="Q147" s="9"/>
      <c r="R147" s="9"/>
      <c r="S147" s="9"/>
      <c r="T147" s="32"/>
      <c r="U147" s="9"/>
      <c r="V147" s="7"/>
      <c r="W147" s="14"/>
      <c r="X147" s="14"/>
      <c r="Y147" s="14"/>
      <c r="Z147" s="14"/>
      <c r="AA147" s="14"/>
      <c r="AB147" s="14"/>
      <c r="AC147" s="14"/>
      <c r="AD147" s="14"/>
      <c r="AE147" s="14"/>
    </row>
    <row r="148" spans="1:31">
      <c r="A148" s="44"/>
      <c r="B148" s="9"/>
      <c r="C148" s="32"/>
      <c r="D148" s="32"/>
      <c r="E148" s="32"/>
      <c r="F148" s="9"/>
      <c r="G148" s="9"/>
      <c r="H148" s="9"/>
      <c r="I148" s="32"/>
      <c r="J148" s="9"/>
      <c r="K148" s="7"/>
      <c r="L148" s="45"/>
      <c r="M148" s="9"/>
      <c r="N148" s="47"/>
      <c r="O148" s="32"/>
      <c r="P148" s="32"/>
      <c r="Q148" s="9"/>
      <c r="R148" s="9"/>
      <c r="S148" s="9"/>
      <c r="T148" s="32"/>
      <c r="U148" s="9"/>
      <c r="V148" s="7"/>
      <c r="W148" s="14"/>
      <c r="X148" s="14"/>
      <c r="Y148" s="14"/>
      <c r="Z148" s="14"/>
      <c r="AA148" s="14"/>
      <c r="AB148" s="14"/>
      <c r="AC148" s="14"/>
      <c r="AD148" s="14"/>
      <c r="AE148" s="14"/>
    </row>
    <row r="149" spans="1:31">
      <c r="A149" s="44"/>
      <c r="B149" s="9"/>
      <c r="C149" s="32"/>
      <c r="D149" s="32"/>
      <c r="E149" s="32"/>
      <c r="F149" s="9"/>
      <c r="G149" s="9"/>
      <c r="H149" s="9"/>
      <c r="I149" s="32"/>
      <c r="J149" s="9"/>
      <c r="K149" s="7"/>
      <c r="L149" s="45"/>
      <c r="M149" s="9"/>
      <c r="N149" s="47"/>
      <c r="O149" s="32"/>
      <c r="P149" s="32"/>
      <c r="Q149" s="9"/>
      <c r="R149" s="9"/>
      <c r="S149" s="9"/>
      <c r="T149" s="32"/>
      <c r="U149" s="9"/>
      <c r="V149" s="7"/>
      <c r="W149" s="14"/>
      <c r="X149" s="14"/>
      <c r="Y149" s="14"/>
      <c r="Z149" s="14"/>
      <c r="AA149" s="14"/>
      <c r="AB149" s="14"/>
      <c r="AC149" s="14"/>
      <c r="AD149" s="14"/>
      <c r="AE149" s="14"/>
    </row>
    <row r="150" spans="1:31">
      <c r="A150" s="44"/>
      <c r="B150" s="9"/>
      <c r="C150" s="32"/>
      <c r="D150" s="32"/>
      <c r="E150" s="32"/>
      <c r="F150" s="9"/>
      <c r="G150" s="9"/>
      <c r="H150" s="9"/>
      <c r="I150" s="32"/>
      <c r="J150" s="9"/>
      <c r="K150" s="7"/>
      <c r="L150" s="45"/>
      <c r="M150" s="9"/>
      <c r="N150" s="47"/>
      <c r="O150" s="32"/>
      <c r="P150" s="32"/>
      <c r="Q150" s="9"/>
      <c r="R150" s="9"/>
      <c r="S150" s="9"/>
      <c r="T150" s="32"/>
      <c r="U150" s="9"/>
      <c r="V150" s="7"/>
      <c r="W150" s="14"/>
      <c r="X150" s="14"/>
      <c r="Y150" s="14"/>
      <c r="Z150" s="14"/>
      <c r="AA150" s="14"/>
      <c r="AB150" s="14"/>
      <c r="AC150" s="14"/>
      <c r="AD150" s="14"/>
      <c r="AE150" s="14"/>
    </row>
    <row r="151" spans="1:31">
      <c r="A151" s="44"/>
      <c r="B151" s="9"/>
      <c r="C151" s="32"/>
      <c r="D151" s="32"/>
      <c r="E151" s="32"/>
      <c r="F151" s="9"/>
      <c r="G151" s="9"/>
      <c r="H151" s="9"/>
      <c r="I151" s="32"/>
      <c r="J151" s="9"/>
      <c r="K151" s="7"/>
      <c r="L151" s="45"/>
      <c r="M151" s="9"/>
      <c r="N151" s="47"/>
      <c r="O151" s="32"/>
      <c r="P151" s="32"/>
      <c r="Q151" s="9"/>
      <c r="R151" s="9"/>
      <c r="S151" s="9"/>
      <c r="T151" s="32"/>
      <c r="U151" s="9"/>
      <c r="V151" s="7"/>
      <c r="W151" s="14"/>
      <c r="X151" s="14"/>
      <c r="Y151" s="14"/>
      <c r="Z151" s="14"/>
      <c r="AA151" s="14"/>
      <c r="AB151" s="14"/>
      <c r="AC151" s="14"/>
      <c r="AD151" s="14"/>
      <c r="AE151" s="14"/>
    </row>
    <row r="152" spans="1:31">
      <c r="A152" s="44"/>
      <c r="B152" s="9"/>
      <c r="C152" s="32"/>
      <c r="D152" s="32"/>
      <c r="E152" s="32"/>
      <c r="F152" s="9"/>
      <c r="G152" s="9"/>
      <c r="H152" s="9"/>
      <c r="I152" s="32"/>
      <c r="J152" s="9"/>
      <c r="K152" s="7"/>
      <c r="L152" s="45"/>
      <c r="M152" s="9"/>
      <c r="N152" s="47"/>
      <c r="O152" s="32"/>
      <c r="P152" s="32"/>
      <c r="Q152" s="9"/>
      <c r="R152" s="9"/>
      <c r="S152" s="9"/>
      <c r="T152" s="32"/>
      <c r="U152" s="9"/>
      <c r="V152" s="7"/>
      <c r="W152" s="14"/>
      <c r="X152" s="14"/>
      <c r="Y152" s="14"/>
      <c r="Z152" s="14"/>
      <c r="AA152" s="14"/>
      <c r="AB152" s="14"/>
      <c r="AC152" s="14"/>
      <c r="AD152" s="14"/>
      <c r="AE152" s="14"/>
    </row>
    <row r="153" spans="1:31">
      <c r="A153" s="44"/>
      <c r="B153" s="9"/>
      <c r="C153" s="32"/>
      <c r="D153" s="32"/>
      <c r="E153" s="32"/>
      <c r="F153" s="9"/>
      <c r="G153" s="9"/>
      <c r="H153" s="9"/>
      <c r="I153" s="32"/>
      <c r="J153" s="9"/>
      <c r="K153" s="7"/>
      <c r="L153" s="45"/>
      <c r="M153" s="9"/>
      <c r="N153" s="47"/>
      <c r="O153" s="32"/>
      <c r="P153" s="32"/>
      <c r="Q153" s="9"/>
      <c r="R153" s="9"/>
      <c r="S153" s="9"/>
      <c r="T153" s="32"/>
      <c r="U153" s="9"/>
      <c r="V153" s="7"/>
      <c r="W153" s="14"/>
      <c r="X153" s="14"/>
      <c r="Y153" s="14"/>
      <c r="Z153" s="14"/>
      <c r="AA153" s="14"/>
      <c r="AB153" s="14"/>
      <c r="AC153" s="14"/>
      <c r="AD153" s="14"/>
      <c r="AE153" s="14"/>
    </row>
    <row r="154" spans="1:31">
      <c r="A154" s="44"/>
      <c r="B154" s="9"/>
      <c r="C154" s="32"/>
      <c r="D154" s="32"/>
      <c r="E154" s="32"/>
      <c r="F154" s="9"/>
      <c r="G154" s="9"/>
      <c r="H154" s="9"/>
      <c r="I154" s="32"/>
      <c r="J154" s="9"/>
      <c r="K154" s="7"/>
      <c r="L154" s="45"/>
      <c r="M154" s="9"/>
      <c r="N154" s="47"/>
      <c r="O154" s="32"/>
      <c r="P154" s="32"/>
      <c r="Q154" s="9"/>
      <c r="R154" s="9"/>
      <c r="S154" s="9"/>
      <c r="T154" s="32"/>
      <c r="U154" s="9"/>
      <c r="V154" s="7"/>
      <c r="W154" s="14"/>
      <c r="X154" s="14"/>
      <c r="Y154" s="14"/>
      <c r="Z154" s="14"/>
      <c r="AA154" s="14"/>
      <c r="AB154" s="14"/>
      <c r="AC154" s="14"/>
      <c r="AD154" s="14"/>
      <c r="AE154" s="14"/>
    </row>
    <row r="155" spans="1:31">
      <c r="A155" s="44"/>
      <c r="B155" s="9"/>
      <c r="C155" s="32"/>
      <c r="D155" s="32"/>
      <c r="E155" s="32"/>
      <c r="F155" s="9"/>
      <c r="G155" s="9"/>
      <c r="H155" s="9"/>
      <c r="I155" s="32"/>
      <c r="J155" s="9"/>
      <c r="K155" s="7"/>
      <c r="L155" s="45"/>
      <c r="M155" s="9"/>
      <c r="N155" s="47"/>
      <c r="O155" s="32"/>
      <c r="P155" s="32"/>
      <c r="Q155" s="9"/>
      <c r="R155" s="9"/>
      <c r="S155" s="9"/>
      <c r="T155" s="32"/>
      <c r="U155" s="9"/>
      <c r="V155" s="7"/>
      <c r="W155" s="14"/>
      <c r="X155" s="14"/>
      <c r="Y155" s="14"/>
      <c r="Z155" s="14"/>
      <c r="AA155" s="14"/>
      <c r="AB155" s="14"/>
      <c r="AC155" s="14"/>
      <c r="AD155" s="14"/>
      <c r="AE155" s="14"/>
    </row>
    <row r="156" spans="1:31">
      <c r="A156" s="44"/>
      <c r="B156" s="9"/>
      <c r="C156" s="32"/>
      <c r="D156" s="32"/>
      <c r="E156" s="32"/>
      <c r="F156" s="9"/>
      <c r="G156" s="9"/>
      <c r="H156" s="9"/>
      <c r="I156" s="32"/>
      <c r="J156" s="9"/>
      <c r="K156" s="7"/>
      <c r="L156" s="45"/>
      <c r="M156" s="9"/>
      <c r="N156" s="47"/>
      <c r="O156" s="32"/>
      <c r="P156" s="32"/>
      <c r="Q156" s="9"/>
      <c r="R156" s="9"/>
      <c r="S156" s="9"/>
      <c r="T156" s="32"/>
      <c r="U156" s="9"/>
      <c r="V156" s="7"/>
      <c r="W156" s="14"/>
      <c r="X156" s="14"/>
      <c r="Y156" s="14"/>
      <c r="Z156" s="14"/>
      <c r="AA156" s="14"/>
      <c r="AB156" s="14"/>
      <c r="AC156" s="14"/>
      <c r="AD156" s="14"/>
      <c r="AE156" s="14"/>
    </row>
    <row r="157" spans="1:31">
      <c r="A157" s="44"/>
      <c r="B157" s="9"/>
      <c r="C157" s="32"/>
      <c r="D157" s="32"/>
      <c r="E157" s="32"/>
      <c r="F157" s="9"/>
      <c r="G157" s="9"/>
      <c r="H157" s="9"/>
      <c r="I157" s="32"/>
      <c r="J157" s="9"/>
      <c r="K157" s="7"/>
      <c r="L157" s="45"/>
      <c r="M157" s="9"/>
      <c r="N157" s="47"/>
      <c r="O157" s="32"/>
      <c r="P157" s="32"/>
      <c r="Q157" s="9"/>
      <c r="R157" s="9"/>
      <c r="S157" s="9"/>
      <c r="T157" s="32"/>
      <c r="U157" s="9"/>
      <c r="V157" s="7"/>
      <c r="W157" s="14"/>
      <c r="X157" s="14"/>
      <c r="Y157" s="14"/>
      <c r="Z157" s="14"/>
      <c r="AA157" s="14"/>
      <c r="AB157" s="14"/>
      <c r="AC157" s="14"/>
      <c r="AD157" s="14"/>
      <c r="AE157" s="14"/>
    </row>
    <row r="158" spans="1:31">
      <c r="A158" s="44"/>
      <c r="B158" s="9"/>
      <c r="C158" s="32"/>
      <c r="D158" s="32"/>
      <c r="E158" s="32"/>
      <c r="F158" s="9"/>
      <c r="G158" s="9"/>
      <c r="H158" s="9"/>
      <c r="I158" s="32"/>
      <c r="J158" s="9"/>
      <c r="K158" s="7"/>
      <c r="L158" s="45"/>
      <c r="M158" s="9"/>
      <c r="N158" s="47"/>
      <c r="O158" s="32"/>
      <c r="P158" s="32"/>
      <c r="Q158" s="9"/>
      <c r="R158" s="9"/>
      <c r="S158" s="9"/>
      <c r="T158" s="32"/>
      <c r="U158" s="9"/>
      <c r="V158" s="7"/>
      <c r="W158" s="14"/>
      <c r="X158" s="14"/>
      <c r="Y158" s="14"/>
      <c r="Z158" s="14"/>
      <c r="AA158" s="14"/>
      <c r="AB158" s="14"/>
      <c r="AC158" s="14"/>
      <c r="AD158" s="14"/>
      <c r="AE158" s="14"/>
    </row>
    <row r="159" spans="1:31">
      <c r="A159" s="44"/>
      <c r="B159" s="9"/>
      <c r="C159" s="32"/>
      <c r="D159" s="32"/>
      <c r="E159" s="32"/>
      <c r="F159" s="9"/>
      <c r="G159" s="9"/>
      <c r="H159" s="9"/>
      <c r="I159" s="32"/>
      <c r="J159" s="9"/>
      <c r="K159" s="7"/>
      <c r="L159" s="45"/>
      <c r="M159" s="9"/>
      <c r="N159" s="47"/>
      <c r="O159" s="32"/>
      <c r="P159" s="32"/>
      <c r="Q159" s="9"/>
      <c r="R159" s="9"/>
      <c r="S159" s="9"/>
      <c r="T159" s="32"/>
      <c r="U159" s="9"/>
      <c r="V159" s="7"/>
      <c r="W159" s="14"/>
      <c r="X159" s="14"/>
      <c r="Y159" s="14"/>
      <c r="Z159" s="14"/>
      <c r="AA159" s="14"/>
      <c r="AB159" s="14"/>
      <c r="AC159" s="14"/>
      <c r="AD159" s="14"/>
      <c r="AE159" s="14"/>
    </row>
    <row r="160" spans="1:31">
      <c r="A160" s="44"/>
      <c r="B160" s="9"/>
      <c r="C160" s="32"/>
      <c r="D160" s="32"/>
      <c r="E160" s="32"/>
      <c r="F160" s="9"/>
      <c r="G160" s="9"/>
      <c r="H160" s="9"/>
      <c r="I160" s="32"/>
      <c r="J160" s="9"/>
      <c r="K160" s="7"/>
      <c r="L160" s="45"/>
      <c r="M160" s="9"/>
      <c r="N160" s="47"/>
      <c r="O160" s="32"/>
      <c r="P160" s="32"/>
      <c r="Q160" s="9"/>
      <c r="R160" s="9"/>
      <c r="S160" s="9"/>
      <c r="T160" s="32"/>
      <c r="U160" s="9"/>
      <c r="V160" s="7"/>
      <c r="W160" s="14"/>
      <c r="X160" s="14"/>
      <c r="Y160" s="14"/>
      <c r="Z160" s="14"/>
      <c r="AA160" s="14"/>
      <c r="AB160" s="14"/>
      <c r="AC160" s="14"/>
      <c r="AD160" s="14"/>
      <c r="AE160" s="14"/>
    </row>
    <row r="161" spans="1:31">
      <c r="A161" s="44"/>
      <c r="B161" s="9"/>
      <c r="C161" s="32"/>
      <c r="D161" s="32"/>
      <c r="E161" s="32"/>
      <c r="F161" s="9"/>
      <c r="G161" s="9"/>
      <c r="H161" s="9"/>
      <c r="I161" s="32"/>
      <c r="J161" s="9"/>
      <c r="K161" s="7"/>
      <c r="L161" s="45"/>
      <c r="M161" s="9"/>
      <c r="N161" s="47"/>
      <c r="O161" s="32"/>
      <c r="P161" s="32"/>
      <c r="Q161" s="9"/>
      <c r="R161" s="9"/>
      <c r="S161" s="9"/>
      <c r="T161" s="32"/>
      <c r="U161" s="9"/>
      <c r="V161" s="7"/>
      <c r="W161" s="14"/>
      <c r="X161" s="14"/>
      <c r="Y161" s="14"/>
      <c r="Z161" s="14"/>
      <c r="AA161" s="14"/>
      <c r="AB161" s="14"/>
      <c r="AC161" s="14"/>
      <c r="AD161" s="14"/>
      <c r="AE161" s="14"/>
    </row>
    <row r="162" spans="1:31">
      <c r="A162" s="44"/>
      <c r="B162" s="9"/>
      <c r="C162" s="32"/>
      <c r="D162" s="32"/>
      <c r="E162" s="32"/>
      <c r="F162" s="9"/>
      <c r="G162" s="9"/>
      <c r="H162" s="9"/>
      <c r="I162" s="32"/>
      <c r="J162" s="9"/>
      <c r="K162" s="7"/>
      <c r="L162" s="45"/>
      <c r="M162" s="9"/>
      <c r="N162" s="47"/>
      <c r="O162" s="32"/>
      <c r="P162" s="32"/>
      <c r="Q162" s="9"/>
      <c r="R162" s="9"/>
      <c r="S162" s="9"/>
      <c r="T162" s="32"/>
      <c r="U162" s="9"/>
      <c r="V162" s="7"/>
      <c r="W162" s="14"/>
      <c r="X162" s="14"/>
      <c r="Y162" s="14"/>
      <c r="Z162" s="14"/>
      <c r="AA162" s="14"/>
      <c r="AB162" s="14"/>
      <c r="AC162" s="14"/>
      <c r="AD162" s="14"/>
      <c r="AE162" s="14"/>
    </row>
    <row r="163" spans="1:31">
      <c r="A163" s="44"/>
      <c r="B163" s="9"/>
      <c r="C163" s="32"/>
      <c r="D163" s="32"/>
      <c r="E163" s="32"/>
      <c r="F163" s="9"/>
      <c r="G163" s="9"/>
      <c r="H163" s="9"/>
      <c r="I163" s="32"/>
      <c r="J163" s="9"/>
      <c r="K163" s="7"/>
      <c r="L163" s="45"/>
      <c r="M163" s="9"/>
      <c r="N163" s="47"/>
      <c r="O163" s="32"/>
      <c r="P163" s="32"/>
      <c r="Q163" s="9"/>
      <c r="R163" s="9"/>
      <c r="S163" s="9"/>
      <c r="T163" s="32"/>
      <c r="U163" s="9"/>
      <c r="V163" s="7"/>
      <c r="W163" s="14"/>
      <c r="X163" s="14"/>
      <c r="Y163" s="14"/>
      <c r="Z163" s="14"/>
      <c r="AA163" s="14"/>
      <c r="AB163" s="14"/>
      <c r="AC163" s="14"/>
      <c r="AD163" s="14"/>
      <c r="AE163" s="14"/>
    </row>
    <row r="164" spans="1:31">
      <c r="A164" s="44"/>
      <c r="B164" s="9"/>
      <c r="C164" s="32"/>
      <c r="D164" s="32"/>
      <c r="E164" s="32"/>
      <c r="F164" s="9"/>
      <c r="G164" s="9"/>
      <c r="H164" s="9"/>
      <c r="I164" s="32"/>
      <c r="J164" s="9"/>
      <c r="K164" s="7"/>
      <c r="L164" s="45"/>
      <c r="M164" s="9"/>
      <c r="N164" s="47"/>
      <c r="O164" s="32"/>
      <c r="P164" s="32"/>
      <c r="Q164" s="9"/>
      <c r="R164" s="9"/>
      <c r="S164" s="9"/>
      <c r="T164" s="32"/>
      <c r="U164" s="9"/>
      <c r="V164" s="7"/>
      <c r="W164" s="14"/>
      <c r="X164" s="14"/>
      <c r="Y164" s="14"/>
      <c r="Z164" s="14"/>
      <c r="AA164" s="14"/>
      <c r="AB164" s="14"/>
      <c r="AC164" s="14"/>
      <c r="AD164" s="14"/>
      <c r="AE164" s="14"/>
    </row>
    <row r="165" spans="1:31">
      <c r="A165" s="44"/>
      <c r="B165" s="9"/>
      <c r="C165" s="32"/>
      <c r="D165" s="32"/>
      <c r="E165" s="32"/>
      <c r="F165" s="9"/>
      <c r="G165" s="9"/>
      <c r="H165" s="9"/>
      <c r="I165" s="32"/>
      <c r="J165" s="9"/>
      <c r="K165" s="7"/>
      <c r="L165" s="45"/>
      <c r="M165" s="9"/>
      <c r="N165" s="47"/>
      <c r="O165" s="32"/>
      <c r="P165" s="32"/>
      <c r="Q165" s="9"/>
      <c r="R165" s="9"/>
      <c r="S165" s="9"/>
      <c r="T165" s="32"/>
      <c r="U165" s="9"/>
      <c r="V165" s="7"/>
      <c r="W165" s="14"/>
      <c r="X165" s="14"/>
      <c r="Y165" s="14"/>
      <c r="Z165" s="14"/>
      <c r="AA165" s="14"/>
      <c r="AB165" s="14"/>
      <c r="AC165" s="14"/>
      <c r="AD165" s="14"/>
      <c r="AE165" s="14"/>
    </row>
    <row r="166" spans="1:31">
      <c r="A166" s="44"/>
      <c r="B166" s="9"/>
      <c r="C166" s="32"/>
      <c r="D166" s="32"/>
      <c r="E166" s="32"/>
      <c r="F166" s="9"/>
      <c r="G166" s="9"/>
      <c r="H166" s="9"/>
      <c r="I166" s="32"/>
      <c r="J166" s="9"/>
      <c r="K166" s="7"/>
      <c r="L166" s="45"/>
      <c r="M166" s="9"/>
      <c r="N166" s="47"/>
      <c r="O166" s="32"/>
      <c r="P166" s="32"/>
      <c r="Q166" s="9"/>
      <c r="R166" s="9"/>
      <c r="S166" s="9"/>
      <c r="T166" s="32"/>
      <c r="U166" s="9"/>
      <c r="V166" s="7"/>
      <c r="W166" s="14"/>
      <c r="X166" s="14"/>
      <c r="Y166" s="14"/>
      <c r="Z166" s="14"/>
      <c r="AA166" s="14"/>
      <c r="AB166" s="14"/>
      <c r="AC166" s="14"/>
      <c r="AD166" s="14"/>
      <c r="AE166" s="14"/>
    </row>
    <row r="167" spans="1:31">
      <c r="A167" s="44"/>
      <c r="B167" s="9"/>
      <c r="C167" s="32"/>
      <c r="D167" s="32"/>
      <c r="E167" s="32"/>
      <c r="F167" s="9"/>
      <c r="G167" s="9"/>
      <c r="H167" s="9"/>
      <c r="I167" s="32"/>
      <c r="J167" s="9"/>
      <c r="K167" s="7"/>
      <c r="L167" s="45"/>
      <c r="M167" s="9"/>
      <c r="N167" s="47"/>
      <c r="O167" s="32"/>
      <c r="P167" s="32"/>
      <c r="Q167" s="9"/>
      <c r="R167" s="9"/>
      <c r="S167" s="9"/>
      <c r="T167" s="32"/>
      <c r="U167" s="9"/>
      <c r="V167" s="7"/>
      <c r="W167" s="14"/>
      <c r="X167" s="14"/>
      <c r="Y167" s="14"/>
      <c r="Z167" s="14"/>
      <c r="AA167" s="14"/>
      <c r="AB167" s="14"/>
      <c r="AC167" s="14"/>
      <c r="AD167" s="14"/>
      <c r="AE167" s="14"/>
    </row>
    <row r="168" spans="1:31">
      <c r="A168" s="44"/>
      <c r="B168" s="9"/>
      <c r="C168" s="32"/>
      <c r="D168" s="32"/>
      <c r="E168" s="32"/>
      <c r="F168" s="9"/>
      <c r="G168" s="9"/>
      <c r="H168" s="9"/>
      <c r="I168" s="32"/>
      <c r="J168" s="9"/>
      <c r="K168" s="7"/>
      <c r="L168" s="45"/>
      <c r="M168" s="9"/>
      <c r="N168" s="47"/>
      <c r="O168" s="32"/>
      <c r="P168" s="32"/>
      <c r="Q168" s="9"/>
      <c r="R168" s="9"/>
      <c r="S168" s="9"/>
      <c r="T168" s="32"/>
      <c r="U168" s="9"/>
      <c r="V168" s="7"/>
      <c r="W168" s="14"/>
      <c r="X168" s="14"/>
      <c r="Y168" s="14"/>
      <c r="Z168" s="14"/>
      <c r="AA168" s="14"/>
      <c r="AB168" s="14"/>
      <c r="AC168" s="14"/>
      <c r="AD168" s="14"/>
      <c r="AE168" s="14"/>
    </row>
    <row r="169" spans="1:31">
      <c r="A169" s="44"/>
      <c r="B169" s="9"/>
      <c r="C169" s="32"/>
      <c r="D169" s="32"/>
      <c r="E169" s="32"/>
      <c r="F169" s="9"/>
      <c r="G169" s="9"/>
      <c r="H169" s="9"/>
      <c r="I169" s="32"/>
      <c r="J169" s="9"/>
      <c r="K169" s="7"/>
      <c r="L169" s="45"/>
      <c r="M169" s="9"/>
      <c r="N169" s="47"/>
      <c r="O169" s="32"/>
      <c r="P169" s="32"/>
      <c r="Q169" s="9"/>
      <c r="R169" s="9"/>
      <c r="S169" s="9"/>
      <c r="T169" s="32"/>
      <c r="U169" s="9"/>
      <c r="V169" s="7"/>
      <c r="W169" s="14"/>
      <c r="X169" s="14"/>
      <c r="Y169" s="14"/>
      <c r="Z169" s="14"/>
      <c r="AA169" s="14"/>
      <c r="AB169" s="14"/>
      <c r="AC169" s="14"/>
      <c r="AD169" s="14"/>
      <c r="AE169" s="14"/>
    </row>
    <row r="170" spans="1:31">
      <c r="A170" s="44"/>
      <c r="B170" s="9"/>
      <c r="C170" s="32"/>
      <c r="D170" s="32"/>
      <c r="E170" s="32"/>
      <c r="F170" s="9"/>
      <c r="G170" s="9"/>
      <c r="H170" s="9"/>
      <c r="I170" s="32"/>
      <c r="J170" s="9"/>
      <c r="K170" s="7"/>
      <c r="L170" s="45"/>
      <c r="M170" s="9"/>
      <c r="N170" s="47"/>
      <c r="O170" s="32"/>
      <c r="P170" s="32"/>
      <c r="Q170" s="9"/>
      <c r="R170" s="9"/>
      <c r="S170" s="9"/>
      <c r="T170" s="32"/>
      <c r="U170" s="9"/>
      <c r="V170" s="7"/>
      <c r="W170" s="14"/>
      <c r="X170" s="14"/>
      <c r="Y170" s="14"/>
      <c r="Z170" s="14"/>
      <c r="AA170" s="14"/>
      <c r="AB170" s="14"/>
      <c r="AC170" s="14"/>
      <c r="AD170" s="14"/>
      <c r="AE170" s="14"/>
    </row>
    <row r="171" spans="1:31">
      <c r="A171" s="44"/>
      <c r="B171" s="9"/>
      <c r="C171" s="32"/>
      <c r="D171" s="32"/>
      <c r="E171" s="32"/>
      <c r="F171" s="9"/>
      <c r="G171" s="9"/>
      <c r="H171" s="9"/>
      <c r="I171" s="32"/>
      <c r="J171" s="9"/>
      <c r="K171" s="7"/>
      <c r="L171" s="45"/>
      <c r="M171" s="9"/>
      <c r="N171" s="47"/>
      <c r="O171" s="32"/>
      <c r="P171" s="32"/>
      <c r="Q171" s="9"/>
      <c r="R171" s="9"/>
      <c r="S171" s="9"/>
      <c r="T171" s="32"/>
      <c r="U171" s="9"/>
      <c r="V171" s="7"/>
      <c r="W171" s="14"/>
      <c r="X171" s="14"/>
      <c r="Y171" s="14"/>
      <c r="Z171" s="14"/>
      <c r="AA171" s="14"/>
      <c r="AB171" s="14"/>
      <c r="AC171" s="14"/>
      <c r="AD171" s="14"/>
      <c r="AE171" s="14"/>
    </row>
    <row r="172" spans="1:31">
      <c r="A172" s="44"/>
      <c r="B172" s="9"/>
      <c r="C172" s="32"/>
      <c r="D172" s="32"/>
      <c r="E172" s="32"/>
      <c r="F172" s="9"/>
      <c r="G172" s="9"/>
      <c r="H172" s="9"/>
      <c r="I172" s="32"/>
      <c r="J172" s="9"/>
      <c r="K172" s="7"/>
      <c r="L172" s="45"/>
      <c r="M172" s="9"/>
      <c r="N172" s="47"/>
      <c r="O172" s="32"/>
      <c r="P172" s="32"/>
      <c r="Q172" s="9"/>
      <c r="R172" s="9"/>
      <c r="S172" s="9"/>
      <c r="T172" s="32"/>
      <c r="U172" s="9"/>
      <c r="V172" s="7"/>
      <c r="W172" s="14"/>
      <c r="X172" s="14"/>
      <c r="Y172" s="14"/>
      <c r="Z172" s="14"/>
      <c r="AA172" s="14"/>
      <c r="AB172" s="14"/>
      <c r="AC172" s="14"/>
      <c r="AD172" s="14"/>
      <c r="AE172" s="14"/>
    </row>
    <row r="173" spans="1:31">
      <c r="A173" s="44"/>
      <c r="B173" s="9"/>
      <c r="C173" s="32"/>
      <c r="D173" s="32"/>
      <c r="E173" s="32"/>
      <c r="F173" s="9"/>
      <c r="G173" s="9"/>
      <c r="H173" s="9"/>
      <c r="I173" s="32"/>
      <c r="J173" s="9"/>
      <c r="K173" s="7"/>
      <c r="L173" s="45"/>
      <c r="M173" s="9"/>
      <c r="N173" s="47"/>
      <c r="O173" s="32"/>
      <c r="P173" s="32"/>
      <c r="Q173" s="9"/>
      <c r="R173" s="9"/>
      <c r="S173" s="9"/>
      <c r="T173" s="32"/>
      <c r="U173" s="9"/>
      <c r="V173" s="7"/>
      <c r="W173" s="14"/>
      <c r="X173" s="14"/>
      <c r="Y173" s="14"/>
      <c r="Z173" s="14"/>
      <c r="AA173" s="14"/>
      <c r="AB173" s="14"/>
      <c r="AC173" s="14"/>
      <c r="AD173" s="14"/>
      <c r="AE173" s="14"/>
    </row>
    <row r="174" spans="1:31">
      <c r="A174" s="44"/>
      <c r="B174" s="9"/>
      <c r="C174" s="32"/>
      <c r="D174" s="32"/>
      <c r="E174" s="32"/>
      <c r="F174" s="9"/>
      <c r="G174" s="9"/>
      <c r="H174" s="9"/>
      <c r="I174" s="32"/>
      <c r="J174" s="9"/>
      <c r="K174" s="7"/>
      <c r="L174" s="45"/>
      <c r="M174" s="9"/>
      <c r="N174" s="47"/>
      <c r="O174" s="32"/>
      <c r="P174" s="32"/>
      <c r="Q174" s="9"/>
      <c r="R174" s="9"/>
      <c r="S174" s="9"/>
      <c r="T174" s="32"/>
      <c r="U174" s="9"/>
      <c r="V174" s="7"/>
      <c r="W174" s="14"/>
      <c r="X174" s="14"/>
      <c r="Y174" s="14"/>
      <c r="Z174" s="14"/>
      <c r="AA174" s="14"/>
      <c r="AB174" s="14"/>
      <c r="AC174" s="14"/>
      <c r="AD174" s="14"/>
      <c r="AE174" s="14"/>
    </row>
    <row r="175" spans="1:31">
      <c r="A175" s="44"/>
      <c r="B175" s="9"/>
      <c r="C175" s="32"/>
      <c r="D175" s="32"/>
      <c r="E175" s="32"/>
      <c r="F175" s="9"/>
      <c r="G175" s="9"/>
      <c r="H175" s="9"/>
      <c r="I175" s="32"/>
      <c r="J175" s="9"/>
      <c r="K175" s="7"/>
      <c r="L175" s="45"/>
      <c r="M175" s="9"/>
      <c r="N175" s="47"/>
      <c r="O175" s="32"/>
      <c r="P175" s="32"/>
      <c r="Q175" s="9"/>
      <c r="R175" s="9"/>
      <c r="S175" s="9"/>
      <c r="T175" s="32"/>
      <c r="U175" s="9"/>
      <c r="V175" s="7"/>
      <c r="W175" s="14"/>
      <c r="X175" s="14"/>
      <c r="Y175" s="14"/>
      <c r="Z175" s="14"/>
      <c r="AA175" s="14"/>
      <c r="AB175" s="14"/>
      <c r="AC175" s="14"/>
      <c r="AD175" s="14"/>
      <c r="AE175" s="14"/>
    </row>
    <row r="176" spans="1:31">
      <c r="A176" s="44"/>
      <c r="B176" s="9"/>
      <c r="C176" s="32"/>
      <c r="D176" s="32"/>
      <c r="E176" s="32"/>
      <c r="F176" s="9"/>
      <c r="G176" s="9"/>
      <c r="H176" s="9"/>
      <c r="I176" s="32"/>
      <c r="J176" s="9"/>
      <c r="K176" s="7"/>
      <c r="L176" s="45"/>
      <c r="M176" s="9"/>
      <c r="N176" s="47"/>
      <c r="O176" s="32"/>
      <c r="P176" s="32"/>
      <c r="Q176" s="9"/>
      <c r="R176" s="9"/>
      <c r="S176" s="9"/>
      <c r="T176" s="32"/>
      <c r="U176" s="9"/>
      <c r="V176" s="7"/>
      <c r="W176" s="14"/>
      <c r="X176" s="14"/>
      <c r="Y176" s="14"/>
      <c r="Z176" s="14"/>
      <c r="AA176" s="14"/>
      <c r="AB176" s="14"/>
      <c r="AC176" s="14"/>
      <c r="AD176" s="14"/>
      <c r="AE176" s="14"/>
    </row>
    <row r="177" spans="1:31">
      <c r="A177" s="44"/>
      <c r="B177" s="9"/>
      <c r="C177" s="32"/>
      <c r="D177" s="32"/>
      <c r="E177" s="32"/>
      <c r="F177" s="9"/>
      <c r="G177" s="9"/>
      <c r="H177" s="9"/>
      <c r="I177" s="32"/>
      <c r="J177" s="9"/>
      <c r="K177" s="7"/>
      <c r="L177" s="45"/>
      <c r="M177" s="9"/>
      <c r="N177" s="47"/>
      <c r="O177" s="32"/>
      <c r="P177" s="32"/>
      <c r="Q177" s="9"/>
      <c r="R177" s="9"/>
      <c r="S177" s="9"/>
      <c r="T177" s="32"/>
      <c r="U177" s="9"/>
      <c r="V177" s="7"/>
      <c r="W177" s="14"/>
      <c r="X177" s="14"/>
      <c r="Y177" s="14"/>
      <c r="Z177" s="14"/>
      <c r="AA177" s="14"/>
      <c r="AB177" s="14"/>
      <c r="AC177" s="14"/>
      <c r="AD177" s="14"/>
      <c r="AE177" s="14"/>
    </row>
    <row r="178" spans="1:31">
      <c r="A178" s="44"/>
      <c r="B178" s="9"/>
      <c r="C178" s="32"/>
      <c r="D178" s="32"/>
      <c r="E178" s="32"/>
      <c r="F178" s="9"/>
      <c r="G178" s="9"/>
      <c r="H178" s="9"/>
      <c r="I178" s="32"/>
      <c r="J178" s="9"/>
      <c r="K178" s="7"/>
      <c r="L178" s="45"/>
      <c r="M178" s="9"/>
      <c r="N178" s="47"/>
      <c r="O178" s="32"/>
      <c r="P178" s="32"/>
      <c r="Q178" s="9"/>
      <c r="R178" s="9"/>
      <c r="S178" s="9"/>
      <c r="T178" s="32"/>
      <c r="U178" s="9"/>
      <c r="V178" s="7"/>
      <c r="W178" s="14"/>
      <c r="X178" s="14"/>
      <c r="Y178" s="14"/>
      <c r="Z178" s="14"/>
      <c r="AA178" s="14"/>
      <c r="AB178" s="14"/>
      <c r="AC178" s="14"/>
      <c r="AD178" s="14"/>
      <c r="AE178" s="14"/>
    </row>
    <row r="179" spans="1:31">
      <c r="A179" s="44"/>
      <c r="B179" s="9"/>
      <c r="C179" s="32"/>
      <c r="D179" s="32"/>
      <c r="E179" s="32"/>
      <c r="F179" s="9"/>
      <c r="G179" s="9"/>
      <c r="H179" s="9"/>
      <c r="I179" s="32"/>
      <c r="J179" s="9"/>
      <c r="K179" s="7"/>
      <c r="L179" s="45"/>
      <c r="M179" s="9"/>
      <c r="N179" s="47"/>
      <c r="O179" s="32"/>
      <c r="P179" s="32"/>
      <c r="Q179" s="9"/>
      <c r="R179" s="9"/>
      <c r="S179" s="9"/>
      <c r="T179" s="32"/>
      <c r="U179" s="9"/>
      <c r="V179" s="7"/>
      <c r="W179" s="14"/>
      <c r="X179" s="14"/>
      <c r="Y179" s="14"/>
      <c r="Z179" s="14"/>
      <c r="AA179" s="14"/>
      <c r="AB179" s="14"/>
      <c r="AC179" s="14"/>
      <c r="AD179" s="14"/>
      <c r="AE179" s="14"/>
    </row>
    <row r="180" spans="1:31">
      <c r="A180" s="44"/>
      <c r="B180" s="9"/>
      <c r="C180" s="32"/>
      <c r="D180" s="32"/>
      <c r="E180" s="32"/>
      <c r="F180" s="9"/>
      <c r="G180" s="9"/>
      <c r="H180" s="9"/>
      <c r="I180" s="32"/>
      <c r="J180" s="9"/>
      <c r="K180" s="7"/>
      <c r="L180" s="45"/>
      <c r="M180" s="9"/>
      <c r="N180" s="47"/>
      <c r="O180" s="32"/>
      <c r="P180" s="32"/>
      <c r="Q180" s="9"/>
      <c r="R180" s="9"/>
      <c r="S180" s="9"/>
      <c r="T180" s="32"/>
      <c r="U180" s="9"/>
      <c r="V180" s="7"/>
      <c r="W180" s="14"/>
      <c r="X180" s="14"/>
      <c r="Y180" s="14"/>
      <c r="Z180" s="14"/>
      <c r="AA180" s="14"/>
      <c r="AB180" s="14"/>
      <c r="AC180" s="14"/>
      <c r="AD180" s="14"/>
      <c r="AE180" s="14"/>
    </row>
    <row r="181" spans="1:31">
      <c r="A181" s="44"/>
      <c r="B181" s="9"/>
      <c r="C181" s="32"/>
      <c r="D181" s="32"/>
      <c r="E181" s="32"/>
      <c r="F181" s="9"/>
      <c r="G181" s="9">
        <f t="shared" ref="G181:G196" si="11">+B181+C181-E181</f>
        <v>0</v>
      </c>
      <c r="H181" s="9"/>
      <c r="I181" s="32"/>
      <c r="J181" s="9">
        <f t="shared" ref="J181:J196" si="12">+G181-I181</f>
        <v>0</v>
      </c>
      <c r="K181" s="7" t="e">
        <f t="shared" ref="K181:K196" si="13">+J181/F181*100</f>
        <v>#DIV/0!</v>
      </c>
      <c r="L181" s="45"/>
      <c r="M181" s="9"/>
      <c r="N181" s="47"/>
      <c r="O181" s="32"/>
      <c r="P181" s="32"/>
      <c r="Q181" s="9"/>
      <c r="R181" s="9">
        <f t="shared" ref="R181:R196" si="14">+M181+N181-P181</f>
        <v>0</v>
      </c>
      <c r="S181" s="9"/>
      <c r="T181" s="32"/>
      <c r="U181" s="9">
        <f t="shared" ref="U181:U196" si="15">+R181-T181</f>
        <v>0</v>
      </c>
      <c r="V181" s="7" t="e">
        <f t="shared" ref="V181:V196" si="16">+U181/Q181*100</f>
        <v>#DIV/0!</v>
      </c>
      <c r="W181" s="14"/>
      <c r="X181" s="14"/>
      <c r="Y181" s="14"/>
      <c r="Z181" s="14"/>
      <c r="AA181" s="14"/>
      <c r="AB181" s="14"/>
      <c r="AC181" s="14"/>
      <c r="AD181" s="14"/>
      <c r="AE181" s="14"/>
    </row>
    <row r="182" spans="1:31">
      <c r="A182" s="44"/>
      <c r="B182" s="9"/>
      <c r="C182" s="32"/>
      <c r="D182" s="32"/>
      <c r="E182" s="32"/>
      <c r="F182" s="9"/>
      <c r="G182" s="9">
        <f t="shared" si="11"/>
        <v>0</v>
      </c>
      <c r="H182" s="9"/>
      <c r="I182" s="32"/>
      <c r="J182" s="9">
        <f t="shared" si="12"/>
        <v>0</v>
      </c>
      <c r="K182" s="7" t="e">
        <f t="shared" si="13"/>
        <v>#DIV/0!</v>
      </c>
      <c r="L182" s="45"/>
      <c r="M182" s="9"/>
      <c r="N182" s="47"/>
      <c r="O182" s="32"/>
      <c r="P182" s="32"/>
      <c r="Q182" s="9"/>
      <c r="R182" s="9">
        <f t="shared" si="14"/>
        <v>0</v>
      </c>
      <c r="S182" s="9"/>
      <c r="T182" s="32"/>
      <c r="U182" s="9">
        <f t="shared" si="15"/>
        <v>0</v>
      </c>
      <c r="V182" s="7" t="e">
        <f t="shared" si="16"/>
        <v>#DIV/0!</v>
      </c>
      <c r="W182" s="14"/>
      <c r="X182" s="14"/>
      <c r="Y182" s="14"/>
      <c r="Z182" s="14"/>
      <c r="AA182" s="14"/>
      <c r="AB182" s="14"/>
      <c r="AC182" s="14"/>
      <c r="AD182" s="14"/>
      <c r="AE182" s="14"/>
    </row>
    <row r="183" spans="1:31">
      <c r="A183" s="44"/>
      <c r="B183" s="9"/>
      <c r="C183" s="32"/>
      <c r="D183" s="32"/>
      <c r="E183" s="32"/>
      <c r="F183" s="9"/>
      <c r="G183" s="9">
        <f t="shared" si="11"/>
        <v>0</v>
      </c>
      <c r="H183" s="9"/>
      <c r="I183" s="32"/>
      <c r="J183" s="9">
        <f t="shared" si="12"/>
        <v>0</v>
      </c>
      <c r="K183" s="7" t="e">
        <f t="shared" si="13"/>
        <v>#DIV/0!</v>
      </c>
      <c r="L183" s="45"/>
      <c r="M183" s="9"/>
      <c r="N183" s="47"/>
      <c r="O183" s="32"/>
      <c r="P183" s="32"/>
      <c r="Q183" s="9"/>
      <c r="R183" s="9">
        <f t="shared" si="14"/>
        <v>0</v>
      </c>
      <c r="S183" s="9"/>
      <c r="T183" s="32"/>
      <c r="U183" s="9">
        <f t="shared" si="15"/>
        <v>0</v>
      </c>
      <c r="V183" s="7" t="e">
        <f t="shared" si="16"/>
        <v>#DIV/0!</v>
      </c>
      <c r="W183" s="14"/>
      <c r="X183" s="14"/>
      <c r="Y183" s="14"/>
      <c r="Z183" s="14"/>
      <c r="AA183" s="14"/>
      <c r="AB183" s="14"/>
      <c r="AC183" s="14"/>
      <c r="AD183" s="14"/>
      <c r="AE183" s="14"/>
    </row>
    <row r="184" spans="1:31">
      <c r="A184" s="44"/>
      <c r="B184" s="9"/>
      <c r="C184" s="32"/>
      <c r="D184" s="32"/>
      <c r="E184" s="32"/>
      <c r="F184" s="9"/>
      <c r="G184" s="9">
        <f t="shared" si="11"/>
        <v>0</v>
      </c>
      <c r="H184" s="9"/>
      <c r="I184" s="32"/>
      <c r="J184" s="9">
        <f t="shared" si="12"/>
        <v>0</v>
      </c>
      <c r="K184" s="7" t="e">
        <f t="shared" si="13"/>
        <v>#DIV/0!</v>
      </c>
      <c r="L184" s="45"/>
      <c r="M184" s="9"/>
      <c r="N184" s="47"/>
      <c r="O184" s="32"/>
      <c r="P184" s="32"/>
      <c r="Q184" s="9"/>
      <c r="R184" s="9">
        <f t="shared" si="14"/>
        <v>0</v>
      </c>
      <c r="S184" s="9"/>
      <c r="T184" s="32"/>
      <c r="U184" s="9">
        <f t="shared" si="15"/>
        <v>0</v>
      </c>
      <c r="V184" s="7" t="e">
        <f t="shared" si="16"/>
        <v>#DIV/0!</v>
      </c>
      <c r="W184" s="14"/>
      <c r="X184" s="14"/>
      <c r="Y184" s="14"/>
      <c r="Z184" s="14"/>
      <c r="AA184" s="14"/>
      <c r="AB184" s="14"/>
      <c r="AC184" s="14"/>
      <c r="AD184" s="14"/>
      <c r="AE184" s="14"/>
    </row>
    <row r="185" spans="1:31">
      <c r="A185" s="44"/>
      <c r="B185" s="9"/>
      <c r="C185" s="32"/>
      <c r="D185" s="32"/>
      <c r="E185" s="32"/>
      <c r="F185" s="9"/>
      <c r="G185" s="9">
        <f t="shared" si="11"/>
        <v>0</v>
      </c>
      <c r="H185" s="9"/>
      <c r="I185" s="32"/>
      <c r="J185" s="9">
        <f t="shared" si="12"/>
        <v>0</v>
      </c>
      <c r="K185" s="7" t="e">
        <f t="shared" si="13"/>
        <v>#DIV/0!</v>
      </c>
      <c r="L185" s="45"/>
      <c r="M185" s="9"/>
      <c r="N185" s="47"/>
      <c r="O185" s="32"/>
      <c r="P185" s="32"/>
      <c r="Q185" s="9"/>
      <c r="R185" s="9">
        <f t="shared" si="14"/>
        <v>0</v>
      </c>
      <c r="S185" s="9"/>
      <c r="T185" s="32"/>
      <c r="U185" s="9">
        <f t="shared" si="15"/>
        <v>0</v>
      </c>
      <c r="V185" s="7" t="e">
        <f t="shared" si="16"/>
        <v>#DIV/0!</v>
      </c>
      <c r="W185" s="14"/>
      <c r="X185" s="14"/>
      <c r="Y185" s="14"/>
      <c r="Z185" s="14"/>
      <c r="AA185" s="14"/>
      <c r="AB185" s="14"/>
      <c r="AC185" s="14"/>
      <c r="AD185" s="14"/>
      <c r="AE185" s="14"/>
    </row>
    <row r="186" spans="1:31">
      <c r="A186" s="44"/>
      <c r="B186" s="9"/>
      <c r="C186" s="32"/>
      <c r="D186" s="32"/>
      <c r="E186" s="32"/>
      <c r="F186" s="9"/>
      <c r="G186" s="9">
        <f t="shared" si="11"/>
        <v>0</v>
      </c>
      <c r="H186" s="9"/>
      <c r="I186" s="32"/>
      <c r="J186" s="9">
        <f t="shared" si="12"/>
        <v>0</v>
      </c>
      <c r="K186" s="7" t="e">
        <f t="shared" si="13"/>
        <v>#DIV/0!</v>
      </c>
      <c r="L186" s="45"/>
      <c r="M186" s="9"/>
      <c r="N186" s="47"/>
      <c r="O186" s="32"/>
      <c r="P186" s="32"/>
      <c r="Q186" s="9"/>
      <c r="R186" s="9">
        <f t="shared" si="14"/>
        <v>0</v>
      </c>
      <c r="S186" s="9"/>
      <c r="T186" s="32"/>
      <c r="U186" s="9">
        <f t="shared" si="15"/>
        <v>0</v>
      </c>
      <c r="V186" s="7" t="e">
        <f t="shared" si="16"/>
        <v>#DIV/0!</v>
      </c>
      <c r="W186" s="14"/>
      <c r="X186" s="14"/>
      <c r="Y186" s="14"/>
      <c r="Z186" s="14"/>
      <c r="AA186" s="14"/>
      <c r="AB186" s="14"/>
      <c r="AC186" s="14"/>
      <c r="AD186" s="14"/>
      <c r="AE186" s="14"/>
    </row>
    <row r="187" spans="1:31">
      <c r="A187" s="44"/>
      <c r="B187" s="9"/>
      <c r="C187" s="32"/>
      <c r="D187" s="32"/>
      <c r="E187" s="32"/>
      <c r="F187" s="9"/>
      <c r="G187" s="9">
        <f t="shared" si="11"/>
        <v>0</v>
      </c>
      <c r="H187" s="9"/>
      <c r="I187" s="32"/>
      <c r="J187" s="9">
        <f t="shared" si="12"/>
        <v>0</v>
      </c>
      <c r="K187" s="7" t="e">
        <f t="shared" si="13"/>
        <v>#DIV/0!</v>
      </c>
      <c r="L187" s="45"/>
      <c r="M187" s="9"/>
      <c r="N187" s="47"/>
      <c r="O187" s="32"/>
      <c r="P187" s="32"/>
      <c r="Q187" s="9"/>
      <c r="R187" s="9">
        <f t="shared" si="14"/>
        <v>0</v>
      </c>
      <c r="S187" s="9"/>
      <c r="T187" s="32"/>
      <c r="U187" s="9">
        <f t="shared" si="15"/>
        <v>0</v>
      </c>
      <c r="V187" s="7" t="e">
        <f t="shared" si="16"/>
        <v>#DIV/0!</v>
      </c>
      <c r="W187" s="14"/>
      <c r="X187" s="14"/>
      <c r="Y187" s="14"/>
      <c r="Z187" s="14"/>
      <c r="AA187" s="14"/>
      <c r="AB187" s="14"/>
      <c r="AC187" s="14"/>
      <c r="AD187" s="14"/>
      <c r="AE187" s="14"/>
    </row>
    <row r="188" spans="1:31">
      <c r="A188" s="44"/>
      <c r="B188" s="9"/>
      <c r="C188" s="32"/>
      <c r="D188" s="32"/>
      <c r="E188" s="32"/>
      <c r="F188" s="9"/>
      <c r="G188" s="9">
        <f t="shared" si="11"/>
        <v>0</v>
      </c>
      <c r="H188" s="9"/>
      <c r="I188" s="32"/>
      <c r="J188" s="9">
        <f t="shared" si="12"/>
        <v>0</v>
      </c>
      <c r="K188" s="7" t="e">
        <f t="shared" si="13"/>
        <v>#DIV/0!</v>
      </c>
      <c r="L188" s="45"/>
      <c r="M188" s="9"/>
      <c r="N188" s="47"/>
      <c r="O188" s="32"/>
      <c r="P188" s="32"/>
      <c r="Q188" s="9"/>
      <c r="R188" s="9">
        <f t="shared" si="14"/>
        <v>0</v>
      </c>
      <c r="S188" s="9"/>
      <c r="T188" s="32"/>
      <c r="U188" s="9">
        <f t="shared" si="15"/>
        <v>0</v>
      </c>
      <c r="V188" s="7" t="e">
        <f t="shared" si="16"/>
        <v>#DIV/0!</v>
      </c>
      <c r="W188" s="14"/>
      <c r="X188" s="14"/>
      <c r="Y188" s="14"/>
      <c r="Z188" s="14"/>
      <c r="AA188" s="14"/>
      <c r="AB188" s="14"/>
      <c r="AC188" s="14"/>
      <c r="AD188" s="14"/>
      <c r="AE188" s="14"/>
    </row>
    <row r="189" spans="1:31">
      <c r="A189" s="44"/>
      <c r="B189" s="9"/>
      <c r="C189" s="32"/>
      <c r="D189" s="32"/>
      <c r="E189" s="32"/>
      <c r="F189" s="9"/>
      <c r="G189" s="9">
        <f t="shared" si="11"/>
        <v>0</v>
      </c>
      <c r="H189" s="9"/>
      <c r="I189" s="32"/>
      <c r="J189" s="9">
        <f t="shared" si="12"/>
        <v>0</v>
      </c>
      <c r="K189" s="7" t="e">
        <f t="shared" si="13"/>
        <v>#DIV/0!</v>
      </c>
      <c r="L189" s="45"/>
      <c r="M189" s="9"/>
      <c r="N189" s="47"/>
      <c r="O189" s="32"/>
      <c r="P189" s="32"/>
      <c r="Q189" s="9"/>
      <c r="R189" s="9">
        <f t="shared" si="14"/>
        <v>0</v>
      </c>
      <c r="S189" s="9"/>
      <c r="T189" s="32"/>
      <c r="U189" s="9">
        <f t="shared" si="15"/>
        <v>0</v>
      </c>
      <c r="V189" s="7" t="e">
        <f t="shared" si="16"/>
        <v>#DIV/0!</v>
      </c>
      <c r="W189" s="14"/>
      <c r="X189" s="14"/>
      <c r="Y189" s="14"/>
      <c r="Z189" s="14"/>
      <c r="AA189" s="14"/>
      <c r="AB189" s="14"/>
      <c r="AC189" s="14"/>
      <c r="AD189" s="14"/>
      <c r="AE189" s="14"/>
    </row>
    <row r="190" spans="1:31">
      <c r="A190" s="44"/>
      <c r="B190" s="9"/>
      <c r="C190" s="32"/>
      <c r="D190" s="32"/>
      <c r="E190" s="32"/>
      <c r="F190" s="9"/>
      <c r="G190" s="9">
        <f t="shared" si="11"/>
        <v>0</v>
      </c>
      <c r="H190" s="9"/>
      <c r="I190" s="32"/>
      <c r="J190" s="9">
        <f t="shared" si="12"/>
        <v>0</v>
      </c>
      <c r="K190" s="7" t="e">
        <f t="shared" si="13"/>
        <v>#DIV/0!</v>
      </c>
      <c r="L190" s="45"/>
      <c r="M190" s="9"/>
      <c r="N190" s="47"/>
      <c r="O190" s="32"/>
      <c r="P190" s="32"/>
      <c r="Q190" s="9"/>
      <c r="R190" s="9">
        <f t="shared" si="14"/>
        <v>0</v>
      </c>
      <c r="S190" s="9"/>
      <c r="T190" s="32"/>
      <c r="U190" s="9">
        <f t="shared" si="15"/>
        <v>0</v>
      </c>
      <c r="V190" s="7" t="e">
        <f t="shared" si="16"/>
        <v>#DIV/0!</v>
      </c>
      <c r="W190" s="14"/>
      <c r="X190" s="14"/>
      <c r="Y190" s="14"/>
      <c r="Z190" s="14"/>
      <c r="AA190" s="14"/>
      <c r="AB190" s="14"/>
      <c r="AC190" s="14"/>
      <c r="AD190" s="14"/>
      <c r="AE190" s="14"/>
    </row>
    <row r="191" spans="1:31">
      <c r="A191" s="44"/>
      <c r="B191" s="9"/>
      <c r="C191" s="32"/>
      <c r="D191" s="32"/>
      <c r="E191" s="32"/>
      <c r="F191" s="9"/>
      <c r="G191" s="9">
        <f t="shared" si="11"/>
        <v>0</v>
      </c>
      <c r="H191" s="9"/>
      <c r="I191" s="32"/>
      <c r="J191" s="9">
        <f t="shared" si="12"/>
        <v>0</v>
      </c>
      <c r="K191" s="7" t="e">
        <f t="shared" si="13"/>
        <v>#DIV/0!</v>
      </c>
      <c r="L191" s="45"/>
      <c r="M191" s="9"/>
      <c r="N191" s="47"/>
      <c r="O191" s="32"/>
      <c r="P191" s="32"/>
      <c r="Q191" s="9"/>
      <c r="R191" s="9">
        <f t="shared" si="14"/>
        <v>0</v>
      </c>
      <c r="S191" s="9"/>
      <c r="T191" s="32"/>
      <c r="U191" s="9">
        <f t="shared" si="15"/>
        <v>0</v>
      </c>
      <c r="V191" s="7" t="e">
        <f t="shared" si="16"/>
        <v>#DIV/0!</v>
      </c>
      <c r="W191" s="14"/>
      <c r="X191" s="14"/>
      <c r="Y191" s="14"/>
      <c r="Z191" s="14"/>
      <c r="AA191" s="14"/>
      <c r="AB191" s="14"/>
      <c r="AC191" s="14"/>
      <c r="AD191" s="14"/>
      <c r="AE191" s="14"/>
    </row>
    <row r="192" spans="1:31">
      <c r="A192" s="44"/>
      <c r="B192" s="9"/>
      <c r="C192" s="32"/>
      <c r="D192" s="32"/>
      <c r="E192" s="32"/>
      <c r="F192" s="9"/>
      <c r="G192" s="9">
        <f t="shared" si="11"/>
        <v>0</v>
      </c>
      <c r="H192" s="9"/>
      <c r="I192" s="32"/>
      <c r="J192" s="9">
        <f t="shared" si="12"/>
        <v>0</v>
      </c>
      <c r="K192" s="7" t="e">
        <f t="shared" si="13"/>
        <v>#DIV/0!</v>
      </c>
      <c r="L192" s="45"/>
      <c r="M192" s="9"/>
      <c r="N192" s="47"/>
      <c r="O192" s="32"/>
      <c r="P192" s="32"/>
      <c r="Q192" s="9"/>
      <c r="R192" s="9">
        <f t="shared" si="14"/>
        <v>0</v>
      </c>
      <c r="S192" s="9"/>
      <c r="T192" s="32"/>
      <c r="U192" s="9">
        <f t="shared" si="15"/>
        <v>0</v>
      </c>
      <c r="V192" s="7" t="e">
        <f t="shared" si="16"/>
        <v>#DIV/0!</v>
      </c>
      <c r="W192" s="14"/>
      <c r="X192" s="14"/>
      <c r="Y192" s="14"/>
      <c r="Z192" s="14"/>
      <c r="AA192" s="14"/>
      <c r="AB192" s="14"/>
      <c r="AC192" s="14"/>
      <c r="AD192" s="14"/>
      <c r="AE192" s="14"/>
    </row>
    <row r="193" spans="1:31">
      <c r="A193" s="44"/>
      <c r="B193" s="9"/>
      <c r="C193" s="32"/>
      <c r="D193" s="32"/>
      <c r="E193" s="32"/>
      <c r="F193" s="9"/>
      <c r="G193" s="9">
        <f t="shared" si="11"/>
        <v>0</v>
      </c>
      <c r="H193" s="9"/>
      <c r="I193" s="32"/>
      <c r="J193" s="9">
        <f t="shared" si="12"/>
        <v>0</v>
      </c>
      <c r="K193" s="7" t="e">
        <f t="shared" si="13"/>
        <v>#DIV/0!</v>
      </c>
      <c r="L193" s="45"/>
      <c r="M193" s="9"/>
      <c r="N193" s="47"/>
      <c r="O193" s="32"/>
      <c r="P193" s="32"/>
      <c r="Q193" s="9"/>
      <c r="R193" s="9">
        <f t="shared" si="14"/>
        <v>0</v>
      </c>
      <c r="S193" s="9"/>
      <c r="T193" s="32"/>
      <c r="U193" s="9">
        <f t="shared" si="15"/>
        <v>0</v>
      </c>
      <c r="V193" s="7" t="e">
        <f t="shared" si="16"/>
        <v>#DIV/0!</v>
      </c>
      <c r="W193" s="14"/>
      <c r="X193" s="14"/>
      <c r="Y193" s="14"/>
      <c r="Z193" s="14"/>
      <c r="AA193" s="14"/>
      <c r="AB193" s="14"/>
      <c r="AC193" s="14"/>
      <c r="AD193" s="14"/>
      <c r="AE193" s="14"/>
    </row>
    <row r="194" spans="1:31">
      <c r="A194" s="44"/>
      <c r="B194" s="9"/>
      <c r="C194" s="32"/>
      <c r="D194" s="32"/>
      <c r="E194" s="32"/>
      <c r="F194" s="9"/>
      <c r="G194" s="9">
        <f t="shared" si="11"/>
        <v>0</v>
      </c>
      <c r="H194" s="9"/>
      <c r="I194" s="32"/>
      <c r="J194" s="9">
        <f t="shared" si="12"/>
        <v>0</v>
      </c>
      <c r="K194" s="7" t="e">
        <f t="shared" si="13"/>
        <v>#DIV/0!</v>
      </c>
      <c r="L194" s="45"/>
      <c r="M194" s="9"/>
      <c r="N194" s="47"/>
      <c r="O194" s="32"/>
      <c r="P194" s="32"/>
      <c r="Q194" s="9"/>
      <c r="R194" s="9">
        <f t="shared" si="14"/>
        <v>0</v>
      </c>
      <c r="S194" s="9"/>
      <c r="T194" s="32"/>
      <c r="U194" s="9">
        <f t="shared" si="15"/>
        <v>0</v>
      </c>
      <c r="V194" s="7" t="e">
        <f t="shared" si="16"/>
        <v>#DIV/0!</v>
      </c>
      <c r="W194" s="14"/>
      <c r="X194" s="14"/>
      <c r="Y194" s="14"/>
      <c r="Z194" s="14"/>
      <c r="AA194" s="14"/>
      <c r="AB194" s="14"/>
      <c r="AC194" s="14"/>
      <c r="AD194" s="14"/>
      <c r="AE194" s="14"/>
    </row>
    <row r="195" spans="1:31">
      <c r="A195" s="44"/>
      <c r="B195" s="9"/>
      <c r="C195" s="32"/>
      <c r="D195" s="32"/>
      <c r="E195" s="32"/>
      <c r="F195" s="9"/>
      <c r="G195" s="9">
        <f t="shared" si="11"/>
        <v>0</v>
      </c>
      <c r="H195" s="9"/>
      <c r="I195" s="32"/>
      <c r="J195" s="9">
        <f t="shared" si="12"/>
        <v>0</v>
      </c>
      <c r="K195" s="7" t="e">
        <f t="shared" si="13"/>
        <v>#DIV/0!</v>
      </c>
      <c r="L195" s="45"/>
      <c r="M195" s="9"/>
      <c r="N195" s="47"/>
      <c r="O195" s="32"/>
      <c r="P195" s="32"/>
      <c r="Q195" s="9"/>
      <c r="R195" s="9">
        <f t="shared" si="14"/>
        <v>0</v>
      </c>
      <c r="S195" s="9"/>
      <c r="T195" s="32"/>
      <c r="U195" s="9">
        <f t="shared" si="15"/>
        <v>0</v>
      </c>
      <c r="V195" s="7" t="e">
        <f t="shared" si="16"/>
        <v>#DIV/0!</v>
      </c>
      <c r="W195" s="14"/>
      <c r="X195" s="14"/>
      <c r="Y195" s="14"/>
      <c r="Z195" s="14"/>
      <c r="AA195" s="14"/>
      <c r="AB195" s="14"/>
      <c r="AC195" s="14"/>
      <c r="AD195" s="14"/>
      <c r="AE195" s="14"/>
    </row>
    <row r="196" spans="1:31">
      <c r="A196" s="44"/>
      <c r="B196" s="9"/>
      <c r="C196" s="32"/>
      <c r="D196" s="32"/>
      <c r="E196" s="32"/>
      <c r="F196" s="9"/>
      <c r="G196" s="9">
        <f t="shared" si="11"/>
        <v>0</v>
      </c>
      <c r="H196" s="9"/>
      <c r="I196" s="32"/>
      <c r="J196" s="9">
        <f t="shared" si="12"/>
        <v>0</v>
      </c>
      <c r="K196" s="7" t="e">
        <f t="shared" si="13"/>
        <v>#DIV/0!</v>
      </c>
      <c r="L196" s="45"/>
      <c r="M196" s="9"/>
      <c r="N196" s="47"/>
      <c r="O196" s="32"/>
      <c r="P196" s="32"/>
      <c r="Q196" s="9"/>
      <c r="R196" s="9">
        <f t="shared" si="14"/>
        <v>0</v>
      </c>
      <c r="S196" s="9"/>
      <c r="T196" s="32"/>
      <c r="U196" s="9">
        <f t="shared" si="15"/>
        <v>0</v>
      </c>
      <c r="V196" s="7" t="e">
        <f t="shared" si="16"/>
        <v>#DIV/0!</v>
      </c>
      <c r="W196" s="14"/>
      <c r="X196" s="14"/>
      <c r="Y196" s="14"/>
      <c r="Z196" s="14"/>
      <c r="AA196" s="14"/>
      <c r="AB196" s="14"/>
      <c r="AC196" s="14"/>
      <c r="AD196" s="14"/>
      <c r="AE196" s="14"/>
    </row>
    <row r="197" spans="1:31">
      <c r="A197" s="26"/>
      <c r="B197" s="9">
        <f>+G141</f>
        <v>0</v>
      </c>
      <c r="C197" s="33"/>
      <c r="D197" s="33"/>
      <c r="E197" s="33"/>
      <c r="F197" s="9">
        <f>+F141+E197</f>
        <v>0</v>
      </c>
      <c r="G197" s="27">
        <f>+B197+C197-E197</f>
        <v>0</v>
      </c>
      <c r="H197" s="27"/>
      <c r="I197" s="33"/>
      <c r="J197" s="27">
        <f>+G197-I197</f>
        <v>0</v>
      </c>
      <c r="K197" s="30" t="e">
        <f t="shared" ref="K197" si="17">+J197/F197*100</f>
        <v>#DIV/0!</v>
      </c>
      <c r="L197" s="29"/>
      <c r="M197" s="9">
        <f>+R141</f>
        <v>0</v>
      </c>
      <c r="N197" s="48"/>
      <c r="O197" s="33"/>
      <c r="P197" s="33"/>
      <c r="Q197" s="9">
        <f>+Q141+P197</f>
        <v>0</v>
      </c>
      <c r="R197" s="27">
        <f>+M197+N197-P197</f>
        <v>0</v>
      </c>
      <c r="S197" s="27"/>
      <c r="T197" s="33"/>
      <c r="U197" s="27">
        <f>+R197-T197</f>
        <v>0</v>
      </c>
      <c r="V197" s="30" t="e">
        <f>+U197/Q197*100</f>
        <v>#DIV/0!</v>
      </c>
      <c r="W197" s="28"/>
      <c r="X197" s="28"/>
      <c r="Y197" s="28"/>
      <c r="Z197" s="28"/>
      <c r="AA197" s="28"/>
      <c r="AB197" s="28"/>
      <c r="AC197" s="28"/>
      <c r="AD197" s="28"/>
      <c r="AE197" s="28"/>
    </row>
    <row r="198" spans="1:31">
      <c r="A198" s="3"/>
      <c r="N198" s="49"/>
    </row>
    <row r="199" spans="1:31">
      <c r="A199" s="3"/>
      <c r="N199" s="49"/>
    </row>
    <row r="200" spans="1:31">
      <c r="A200" s="3"/>
    </row>
    <row r="201" spans="1:31">
      <c r="A201" s="3"/>
    </row>
    <row r="202" spans="1:31">
      <c r="A202" s="3"/>
    </row>
    <row r="203" spans="1:31">
      <c r="A203" s="3"/>
    </row>
    <row r="204" spans="1:31">
      <c r="A204" s="3"/>
    </row>
    <row r="205" spans="1:31">
      <c r="A205" s="3"/>
    </row>
    <row r="206" spans="1:31">
      <c r="A206" s="3"/>
    </row>
    <row r="207" spans="1:31">
      <c r="A207" s="3"/>
    </row>
    <row r="208" spans="1:3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  <row r="220" spans="1:1">
      <c r="A220" s="3"/>
    </row>
    <row r="221" spans="1:1">
      <c r="A221" s="3"/>
    </row>
    <row r="222" spans="1:1">
      <c r="A222" s="3"/>
    </row>
    <row r="223" spans="1:1">
      <c r="A223" s="3"/>
    </row>
    <row r="224" spans="1:1">
      <c r="A224" s="3"/>
    </row>
    <row r="225" spans="1:1">
      <c r="A225" s="3"/>
    </row>
    <row r="226" spans="1:1">
      <c r="A226" s="3"/>
    </row>
    <row r="227" spans="1:1">
      <c r="A227" s="3"/>
    </row>
    <row r="228" spans="1:1">
      <c r="A228" s="3"/>
    </row>
    <row r="229" spans="1:1">
      <c r="A229" s="3"/>
    </row>
    <row r="230" spans="1:1">
      <c r="A230" s="3"/>
    </row>
    <row r="231" spans="1:1">
      <c r="A231" s="3"/>
    </row>
    <row r="232" spans="1:1">
      <c r="A232" s="3"/>
    </row>
    <row r="233" spans="1:1">
      <c r="A233" s="3"/>
    </row>
    <row r="234" spans="1:1">
      <c r="A234" s="3"/>
    </row>
    <row r="235" spans="1:1">
      <c r="A235" s="3"/>
    </row>
    <row r="236" spans="1:1">
      <c r="A236" s="3"/>
    </row>
    <row r="237" spans="1:1">
      <c r="A237" s="3"/>
    </row>
    <row r="238" spans="1:1">
      <c r="A238" s="3"/>
    </row>
    <row r="239" spans="1:1">
      <c r="A239" s="3"/>
    </row>
    <row r="240" spans="1:1">
      <c r="A240" s="3"/>
    </row>
    <row r="241" spans="1:1">
      <c r="A241" s="3"/>
    </row>
    <row r="242" spans="1:1">
      <c r="A242" s="3"/>
    </row>
    <row r="243" spans="1:1">
      <c r="A243" s="3"/>
    </row>
    <row r="244" spans="1:1">
      <c r="A244" s="3"/>
    </row>
    <row r="245" spans="1:1">
      <c r="A245" s="3"/>
    </row>
    <row r="246" spans="1:1">
      <c r="A246" s="3"/>
    </row>
    <row r="247" spans="1:1">
      <c r="A247" s="3"/>
    </row>
    <row r="248" spans="1:1">
      <c r="A248" s="3"/>
    </row>
    <row r="249" spans="1:1">
      <c r="A249" s="3"/>
    </row>
    <row r="250" spans="1:1">
      <c r="A250" s="3"/>
    </row>
    <row r="251" spans="1:1">
      <c r="A251" s="3"/>
    </row>
    <row r="252" spans="1:1">
      <c r="A252" s="3"/>
    </row>
    <row r="253" spans="1:1">
      <c r="A253" s="3"/>
    </row>
    <row r="254" spans="1:1">
      <c r="A254" s="3"/>
    </row>
    <row r="255" spans="1:1">
      <c r="A255" s="3"/>
    </row>
    <row r="256" spans="1:1">
      <c r="A256" s="3"/>
    </row>
    <row r="257" spans="1:1">
      <c r="A257" s="3"/>
    </row>
    <row r="258" spans="1:1">
      <c r="A258" s="3"/>
    </row>
    <row r="259" spans="1:1">
      <c r="A259" s="3"/>
    </row>
    <row r="260" spans="1:1">
      <c r="A260" s="3"/>
    </row>
    <row r="261" spans="1:1">
      <c r="A261" s="3"/>
    </row>
    <row r="262" spans="1:1">
      <c r="A262" s="3"/>
    </row>
    <row r="263" spans="1:1">
      <c r="A263" s="3"/>
    </row>
    <row r="264" spans="1:1">
      <c r="A264" s="3"/>
    </row>
    <row r="265" spans="1:1">
      <c r="A265" s="3"/>
    </row>
    <row r="266" spans="1:1">
      <c r="A266" s="3"/>
    </row>
    <row r="267" spans="1:1">
      <c r="A267" s="3"/>
    </row>
    <row r="268" spans="1:1">
      <c r="A268" s="3"/>
    </row>
    <row r="269" spans="1:1">
      <c r="A269" s="3"/>
    </row>
    <row r="270" spans="1:1">
      <c r="A270" s="3"/>
    </row>
    <row r="271" spans="1:1">
      <c r="A271" s="3"/>
    </row>
    <row r="272" spans="1:1">
      <c r="A272" s="3"/>
    </row>
    <row r="273" spans="1:1">
      <c r="A273" s="3"/>
    </row>
    <row r="274" spans="1:1">
      <c r="A274" s="3"/>
    </row>
    <row r="275" spans="1:1">
      <c r="A275" s="3"/>
    </row>
    <row r="276" spans="1:1">
      <c r="A276" s="3"/>
    </row>
    <row r="277" spans="1:1">
      <c r="A277" s="3"/>
    </row>
    <row r="278" spans="1:1">
      <c r="A278" s="3"/>
    </row>
    <row r="279" spans="1:1">
      <c r="A279" s="3"/>
    </row>
    <row r="280" spans="1:1">
      <c r="A280" s="3"/>
    </row>
    <row r="281" spans="1:1">
      <c r="A281" s="3"/>
    </row>
    <row r="282" spans="1:1">
      <c r="A282" s="3"/>
    </row>
    <row r="283" spans="1:1">
      <c r="A283" s="3"/>
    </row>
    <row r="284" spans="1:1">
      <c r="A284" s="3"/>
    </row>
    <row r="285" spans="1:1">
      <c r="A285" s="3"/>
    </row>
    <row r="286" spans="1:1">
      <c r="A286" s="3"/>
    </row>
    <row r="287" spans="1:1">
      <c r="A287" s="3"/>
    </row>
    <row r="288" spans="1:1">
      <c r="A288" s="3"/>
    </row>
    <row r="289" spans="1:1">
      <c r="A289" s="3"/>
    </row>
    <row r="290" spans="1:1">
      <c r="A290" s="3"/>
    </row>
    <row r="291" spans="1:1">
      <c r="A291" s="3"/>
    </row>
    <row r="292" spans="1:1">
      <c r="A292" s="3"/>
    </row>
    <row r="293" spans="1:1">
      <c r="A293" s="3"/>
    </row>
    <row r="294" spans="1:1">
      <c r="A294" s="3"/>
    </row>
    <row r="295" spans="1:1">
      <c r="A295" s="3"/>
    </row>
    <row r="296" spans="1:1">
      <c r="A296" s="3"/>
    </row>
    <row r="297" spans="1:1">
      <c r="A297" s="3"/>
    </row>
    <row r="298" spans="1:1">
      <c r="A298" s="3"/>
    </row>
    <row r="299" spans="1:1">
      <c r="A299" s="3"/>
    </row>
    <row r="300" spans="1:1">
      <c r="A300" s="3"/>
    </row>
    <row r="301" spans="1:1">
      <c r="A301" s="3"/>
    </row>
    <row r="302" spans="1:1">
      <c r="A302" s="3"/>
    </row>
    <row r="303" spans="1:1">
      <c r="A303" s="3"/>
    </row>
    <row r="304" spans="1:1">
      <c r="A304" s="3"/>
    </row>
    <row r="305" spans="1:1">
      <c r="A305" s="3"/>
    </row>
    <row r="306" spans="1:1">
      <c r="A306" s="3"/>
    </row>
    <row r="307" spans="1:1">
      <c r="A307" s="3"/>
    </row>
    <row r="308" spans="1:1">
      <c r="A308" s="3"/>
    </row>
    <row r="309" spans="1:1">
      <c r="A309" s="3"/>
    </row>
    <row r="310" spans="1:1">
      <c r="A310" s="3"/>
    </row>
    <row r="311" spans="1:1">
      <c r="A311" s="3"/>
    </row>
    <row r="312" spans="1:1">
      <c r="A312" s="3"/>
    </row>
    <row r="313" spans="1:1">
      <c r="A313" s="3"/>
    </row>
    <row r="314" spans="1:1">
      <c r="A314" s="3"/>
    </row>
    <row r="315" spans="1:1">
      <c r="A315" s="3"/>
    </row>
    <row r="316" spans="1:1">
      <c r="A316" s="3"/>
    </row>
    <row r="317" spans="1:1">
      <c r="A317" s="3"/>
    </row>
    <row r="318" spans="1:1">
      <c r="A318" s="3"/>
    </row>
    <row r="319" spans="1:1">
      <c r="A319" s="3"/>
    </row>
    <row r="320" spans="1:1">
      <c r="A320" s="3"/>
    </row>
    <row r="321" spans="1:1">
      <c r="A321" s="3"/>
    </row>
    <row r="322" spans="1:1">
      <c r="A322" s="3"/>
    </row>
    <row r="323" spans="1:1">
      <c r="A323" s="3"/>
    </row>
    <row r="324" spans="1:1">
      <c r="A324" s="3"/>
    </row>
    <row r="325" spans="1:1">
      <c r="A325" s="3"/>
    </row>
    <row r="326" spans="1:1">
      <c r="A326" s="3"/>
    </row>
    <row r="327" spans="1:1">
      <c r="A327" s="3"/>
    </row>
    <row r="328" spans="1:1">
      <c r="A328" s="3"/>
    </row>
    <row r="329" spans="1:1">
      <c r="A329" s="3"/>
    </row>
    <row r="330" spans="1:1">
      <c r="A330" s="3"/>
    </row>
    <row r="331" spans="1:1">
      <c r="A331" s="3"/>
    </row>
    <row r="332" spans="1:1">
      <c r="A332" s="3"/>
    </row>
    <row r="333" spans="1:1">
      <c r="A333" s="3"/>
    </row>
    <row r="334" spans="1:1">
      <c r="A334" s="3"/>
    </row>
    <row r="335" spans="1:1">
      <c r="A335" s="3"/>
    </row>
    <row r="336" spans="1:1">
      <c r="A336" s="3"/>
    </row>
    <row r="337" spans="1:1">
      <c r="A337" s="3"/>
    </row>
    <row r="338" spans="1:1">
      <c r="A338" s="3"/>
    </row>
    <row r="339" spans="1:1">
      <c r="A339" s="3"/>
    </row>
    <row r="340" spans="1:1">
      <c r="A340" s="3"/>
    </row>
    <row r="341" spans="1:1">
      <c r="A341" s="3"/>
    </row>
    <row r="342" spans="1:1">
      <c r="A342" s="3"/>
    </row>
    <row r="343" spans="1:1">
      <c r="A343" s="3"/>
    </row>
    <row r="344" spans="1:1">
      <c r="A344" s="3"/>
    </row>
    <row r="345" spans="1:1">
      <c r="A345" s="3"/>
    </row>
    <row r="346" spans="1:1">
      <c r="A346" s="3"/>
    </row>
    <row r="347" spans="1:1">
      <c r="A347" s="3"/>
    </row>
    <row r="348" spans="1:1">
      <c r="A348" s="3"/>
    </row>
    <row r="349" spans="1:1">
      <c r="A349" s="3"/>
    </row>
    <row r="350" spans="1:1">
      <c r="A350" s="3"/>
    </row>
    <row r="351" spans="1:1">
      <c r="A351" s="3"/>
    </row>
    <row r="352" spans="1:1">
      <c r="A352" s="3"/>
    </row>
    <row r="353" spans="1:1">
      <c r="A353" s="3"/>
    </row>
    <row r="354" spans="1:1">
      <c r="A354" s="3"/>
    </row>
    <row r="355" spans="1:1">
      <c r="A355" s="3"/>
    </row>
    <row r="356" spans="1:1">
      <c r="A356" s="3"/>
    </row>
    <row r="357" spans="1:1">
      <c r="A357" s="3"/>
    </row>
    <row r="358" spans="1:1">
      <c r="A358" s="3"/>
    </row>
    <row r="359" spans="1:1">
      <c r="A359" s="3"/>
    </row>
    <row r="360" spans="1:1">
      <c r="A360" s="3"/>
    </row>
    <row r="361" spans="1:1">
      <c r="A361" s="3"/>
    </row>
    <row r="362" spans="1:1">
      <c r="A362" s="3"/>
    </row>
    <row r="363" spans="1:1">
      <c r="A363" s="3"/>
    </row>
    <row r="364" spans="1:1">
      <c r="A364" s="3"/>
    </row>
    <row r="365" spans="1:1">
      <c r="A365" s="3"/>
    </row>
    <row r="366" spans="1:1">
      <c r="A366" s="3"/>
    </row>
    <row r="367" spans="1:1">
      <c r="A367" s="3"/>
    </row>
    <row r="368" spans="1:1">
      <c r="A368" s="3"/>
    </row>
    <row r="369" spans="1:1">
      <c r="A369" s="3"/>
    </row>
    <row r="370" spans="1:1">
      <c r="A370" s="3"/>
    </row>
    <row r="371" spans="1:1">
      <c r="A371" s="3"/>
    </row>
    <row r="372" spans="1:1">
      <c r="A372" s="3"/>
    </row>
    <row r="373" spans="1:1">
      <c r="A373" s="3"/>
    </row>
    <row r="374" spans="1:1">
      <c r="A374" s="3"/>
    </row>
    <row r="375" spans="1:1">
      <c r="A375" s="3"/>
    </row>
    <row r="376" spans="1:1">
      <c r="A376" s="3"/>
    </row>
    <row r="377" spans="1:1">
      <c r="A377" s="3"/>
    </row>
    <row r="378" spans="1:1">
      <c r="A378" s="3"/>
    </row>
    <row r="379" spans="1:1">
      <c r="A379" s="3"/>
    </row>
    <row r="380" spans="1:1">
      <c r="A380" s="3"/>
    </row>
    <row r="381" spans="1:1">
      <c r="A381" s="3"/>
    </row>
    <row r="382" spans="1:1">
      <c r="A382" s="3"/>
    </row>
    <row r="383" spans="1:1">
      <c r="A383" s="3"/>
    </row>
    <row r="384" spans="1:1">
      <c r="A384" s="3"/>
    </row>
    <row r="385" spans="1:1">
      <c r="A385" s="3"/>
    </row>
    <row r="386" spans="1:1">
      <c r="A386" s="3"/>
    </row>
    <row r="387" spans="1:1">
      <c r="A387" s="3"/>
    </row>
    <row r="388" spans="1:1">
      <c r="A388" s="3"/>
    </row>
    <row r="389" spans="1:1">
      <c r="A389" s="3"/>
    </row>
    <row r="390" spans="1:1">
      <c r="A390" s="3"/>
    </row>
    <row r="391" spans="1:1">
      <c r="A391" s="3"/>
    </row>
    <row r="392" spans="1:1">
      <c r="A392" s="3"/>
    </row>
    <row r="393" spans="1:1">
      <c r="A393" s="3"/>
    </row>
    <row r="394" spans="1:1">
      <c r="A394" s="3"/>
    </row>
    <row r="395" spans="1:1">
      <c r="A395" s="3"/>
    </row>
    <row r="396" spans="1:1">
      <c r="A396" s="3"/>
    </row>
    <row r="397" spans="1:1">
      <c r="A397" s="3"/>
    </row>
    <row r="398" spans="1:1">
      <c r="A398" s="3"/>
    </row>
    <row r="399" spans="1:1">
      <c r="A399" s="3"/>
    </row>
    <row r="400" spans="1:1">
      <c r="A400" s="3"/>
    </row>
    <row r="401" spans="1:1">
      <c r="A401" s="3"/>
    </row>
    <row r="402" spans="1:1">
      <c r="A402" s="3"/>
    </row>
    <row r="403" spans="1:1">
      <c r="A403" s="3"/>
    </row>
    <row r="404" spans="1:1">
      <c r="A404" s="3"/>
    </row>
    <row r="405" spans="1:1">
      <c r="A405" s="3"/>
    </row>
    <row r="406" spans="1:1">
      <c r="A406" s="3"/>
    </row>
    <row r="407" spans="1:1">
      <c r="A407" s="3"/>
    </row>
    <row r="408" spans="1:1">
      <c r="A408" s="3"/>
    </row>
    <row r="409" spans="1:1">
      <c r="A409" s="3"/>
    </row>
    <row r="410" spans="1:1">
      <c r="A410" s="3"/>
    </row>
    <row r="411" spans="1:1">
      <c r="A411" s="3"/>
    </row>
    <row r="412" spans="1:1">
      <c r="A412" s="3"/>
    </row>
    <row r="413" spans="1:1">
      <c r="A413" s="3"/>
    </row>
    <row r="414" spans="1:1">
      <c r="A414" s="3"/>
    </row>
    <row r="415" spans="1:1">
      <c r="A415" s="3"/>
    </row>
    <row r="416" spans="1:1">
      <c r="A416" s="3"/>
    </row>
    <row r="417" spans="1:1">
      <c r="A417" s="3"/>
    </row>
    <row r="418" spans="1:1">
      <c r="A418" s="3"/>
    </row>
    <row r="419" spans="1:1">
      <c r="A419" s="3"/>
    </row>
    <row r="420" spans="1:1">
      <c r="A420" s="3"/>
    </row>
    <row r="421" spans="1:1">
      <c r="A421" s="3"/>
    </row>
    <row r="422" spans="1:1">
      <c r="A422" s="3"/>
    </row>
    <row r="423" spans="1:1">
      <c r="A423" s="3"/>
    </row>
    <row r="424" spans="1:1">
      <c r="A424" s="3"/>
    </row>
    <row r="425" spans="1:1">
      <c r="A425" s="3"/>
    </row>
    <row r="426" spans="1:1">
      <c r="A426" s="3"/>
    </row>
    <row r="427" spans="1:1">
      <c r="A427" s="3"/>
    </row>
    <row r="428" spans="1:1">
      <c r="A428" s="3"/>
    </row>
    <row r="429" spans="1:1">
      <c r="A429" s="3"/>
    </row>
    <row r="430" spans="1:1">
      <c r="A430" s="3"/>
    </row>
    <row r="431" spans="1:1">
      <c r="A431" s="3"/>
    </row>
    <row r="432" spans="1:1">
      <c r="A432" s="3"/>
    </row>
    <row r="433" spans="1:1">
      <c r="A433" s="3"/>
    </row>
    <row r="434" spans="1:1">
      <c r="A434" s="3"/>
    </row>
    <row r="435" spans="1:1">
      <c r="A435" s="3"/>
    </row>
    <row r="436" spans="1:1">
      <c r="A436" s="3"/>
    </row>
    <row r="437" spans="1:1">
      <c r="A437" s="3"/>
    </row>
    <row r="438" spans="1:1">
      <c r="A438" s="3"/>
    </row>
    <row r="439" spans="1:1">
      <c r="A439" s="3"/>
    </row>
    <row r="440" spans="1:1">
      <c r="A440" s="3"/>
    </row>
    <row r="441" spans="1:1">
      <c r="A441" s="3"/>
    </row>
    <row r="442" spans="1:1">
      <c r="A442" s="3"/>
    </row>
    <row r="443" spans="1:1">
      <c r="A443" s="3"/>
    </row>
    <row r="444" spans="1:1">
      <c r="A444" s="3"/>
    </row>
    <row r="445" spans="1:1">
      <c r="A445" s="3"/>
    </row>
    <row r="446" spans="1:1">
      <c r="A446" s="3"/>
    </row>
    <row r="447" spans="1:1">
      <c r="A447" s="3"/>
    </row>
    <row r="448" spans="1:1">
      <c r="A448" s="3"/>
    </row>
    <row r="449" spans="1:1">
      <c r="A449" s="3"/>
    </row>
    <row r="450" spans="1:1">
      <c r="A450" s="3"/>
    </row>
    <row r="451" spans="1:1">
      <c r="A451" s="3"/>
    </row>
    <row r="452" spans="1:1">
      <c r="A452" s="3"/>
    </row>
    <row r="453" spans="1:1">
      <c r="A453" s="3"/>
    </row>
    <row r="454" spans="1:1">
      <c r="A454" s="3"/>
    </row>
    <row r="455" spans="1:1">
      <c r="A455" s="3"/>
    </row>
    <row r="456" spans="1:1">
      <c r="A456" s="3"/>
    </row>
    <row r="457" spans="1:1">
      <c r="A457" s="3"/>
    </row>
    <row r="458" spans="1:1">
      <c r="A458" s="3"/>
    </row>
    <row r="459" spans="1:1">
      <c r="A459" s="3"/>
    </row>
    <row r="460" spans="1:1">
      <c r="A460" s="3"/>
    </row>
    <row r="461" spans="1:1">
      <c r="A461" s="3"/>
    </row>
    <row r="462" spans="1:1">
      <c r="A462" s="3"/>
    </row>
    <row r="463" spans="1:1">
      <c r="A463" s="3"/>
    </row>
    <row r="464" spans="1:1">
      <c r="A464" s="3"/>
    </row>
    <row r="465" spans="1:1">
      <c r="A465" s="3"/>
    </row>
    <row r="466" spans="1:1">
      <c r="A466" s="3"/>
    </row>
    <row r="467" spans="1:1">
      <c r="A467" s="3"/>
    </row>
    <row r="468" spans="1:1">
      <c r="A468" s="3"/>
    </row>
    <row r="469" spans="1:1">
      <c r="A469" s="3"/>
    </row>
    <row r="470" spans="1:1">
      <c r="A470" s="3"/>
    </row>
    <row r="471" spans="1:1">
      <c r="A471" s="3"/>
    </row>
    <row r="472" spans="1:1">
      <c r="A472" s="3"/>
    </row>
    <row r="473" spans="1:1">
      <c r="A473" s="3"/>
    </row>
    <row r="474" spans="1:1">
      <c r="A474" s="3"/>
    </row>
    <row r="475" spans="1:1">
      <c r="A475" s="3"/>
    </row>
    <row r="476" spans="1:1">
      <c r="A476" s="3"/>
    </row>
    <row r="477" spans="1:1">
      <c r="A477" s="3"/>
    </row>
    <row r="478" spans="1:1">
      <c r="A478" s="3"/>
    </row>
    <row r="479" spans="1:1">
      <c r="A479" s="3"/>
    </row>
    <row r="480" spans="1:1">
      <c r="A480" s="3"/>
    </row>
    <row r="481" spans="1:1">
      <c r="A481" s="3"/>
    </row>
    <row r="482" spans="1:1">
      <c r="A482" s="3"/>
    </row>
    <row r="483" spans="1:1">
      <c r="A483" s="3"/>
    </row>
    <row r="484" spans="1:1">
      <c r="A484" s="3"/>
    </row>
    <row r="485" spans="1:1">
      <c r="A485" s="3"/>
    </row>
    <row r="486" spans="1:1">
      <c r="A486" s="3"/>
    </row>
    <row r="487" spans="1:1">
      <c r="A487" s="3"/>
    </row>
    <row r="488" spans="1:1">
      <c r="A488" s="3"/>
    </row>
    <row r="489" spans="1:1">
      <c r="A489" s="3"/>
    </row>
    <row r="490" spans="1:1">
      <c r="A490" s="3"/>
    </row>
    <row r="491" spans="1:1">
      <c r="A491" s="3"/>
    </row>
    <row r="492" spans="1:1">
      <c r="A492" s="3"/>
    </row>
    <row r="493" spans="1:1">
      <c r="A493" s="3"/>
    </row>
    <row r="494" spans="1:1">
      <c r="A494" s="3"/>
    </row>
    <row r="495" spans="1:1">
      <c r="A495" s="3"/>
    </row>
    <row r="496" spans="1:1">
      <c r="A496" s="3"/>
    </row>
    <row r="497" spans="1:1">
      <c r="A497" s="3"/>
    </row>
    <row r="498" spans="1:1">
      <c r="A498" s="3"/>
    </row>
    <row r="499" spans="1:1">
      <c r="A499" s="3"/>
    </row>
    <row r="500" spans="1:1">
      <c r="A500" s="3"/>
    </row>
    <row r="501" spans="1:1">
      <c r="A501" s="3"/>
    </row>
    <row r="502" spans="1:1">
      <c r="A502" s="3"/>
    </row>
    <row r="503" spans="1:1">
      <c r="A503" s="3"/>
    </row>
    <row r="504" spans="1:1">
      <c r="A504" s="3"/>
    </row>
    <row r="505" spans="1:1">
      <c r="A505" s="3"/>
    </row>
    <row r="506" spans="1:1">
      <c r="A506" s="3"/>
    </row>
    <row r="507" spans="1:1">
      <c r="A507" s="3"/>
    </row>
    <row r="508" spans="1:1">
      <c r="A508" s="3"/>
    </row>
    <row r="509" spans="1:1">
      <c r="A509" s="3"/>
    </row>
    <row r="510" spans="1:1">
      <c r="A510" s="3"/>
    </row>
    <row r="511" spans="1:1">
      <c r="A511" s="3"/>
    </row>
    <row r="512" spans="1:1">
      <c r="A512" s="3"/>
    </row>
    <row r="513" spans="1:1">
      <c r="A513" s="3"/>
    </row>
    <row r="514" spans="1:1">
      <c r="A514" s="3"/>
    </row>
    <row r="515" spans="1:1">
      <c r="A515" s="3"/>
    </row>
    <row r="516" spans="1:1">
      <c r="A516" s="3"/>
    </row>
    <row r="517" spans="1:1">
      <c r="A517" s="3"/>
    </row>
    <row r="518" spans="1:1">
      <c r="A518" s="3"/>
    </row>
    <row r="519" spans="1:1">
      <c r="A519" s="3"/>
    </row>
    <row r="520" spans="1:1">
      <c r="A520" s="3"/>
    </row>
    <row r="521" spans="1:1">
      <c r="A521" s="3"/>
    </row>
    <row r="522" spans="1:1">
      <c r="A522" s="3"/>
    </row>
    <row r="523" spans="1:1">
      <c r="A523" s="3"/>
    </row>
    <row r="524" spans="1:1">
      <c r="A524" s="3"/>
    </row>
    <row r="525" spans="1:1">
      <c r="A525" s="3"/>
    </row>
    <row r="526" spans="1:1">
      <c r="A526" s="3"/>
    </row>
    <row r="527" spans="1:1">
      <c r="A527" s="3"/>
    </row>
    <row r="528" spans="1:1">
      <c r="A528" s="3"/>
    </row>
    <row r="529" spans="1:1">
      <c r="A529" s="3"/>
    </row>
    <row r="530" spans="1:1">
      <c r="A530" s="3"/>
    </row>
    <row r="531" spans="1:1">
      <c r="A531" s="3"/>
    </row>
    <row r="532" spans="1:1">
      <c r="A532" s="3"/>
    </row>
    <row r="533" spans="1:1">
      <c r="A533" s="3"/>
    </row>
    <row r="534" spans="1:1">
      <c r="A534" s="3"/>
    </row>
    <row r="535" spans="1:1">
      <c r="A535" s="3"/>
    </row>
    <row r="536" spans="1:1">
      <c r="A536" s="3"/>
    </row>
    <row r="537" spans="1:1">
      <c r="A537" s="3"/>
    </row>
    <row r="538" spans="1:1">
      <c r="A538" s="3"/>
    </row>
    <row r="539" spans="1:1">
      <c r="A539" s="3"/>
    </row>
    <row r="540" spans="1:1">
      <c r="A540" s="3"/>
    </row>
    <row r="541" spans="1:1">
      <c r="A541" s="3"/>
    </row>
    <row r="542" spans="1:1">
      <c r="A542" s="3"/>
    </row>
    <row r="543" spans="1:1">
      <c r="A543" s="3"/>
    </row>
    <row r="544" spans="1:1">
      <c r="A544" s="3"/>
    </row>
    <row r="545" spans="1:1">
      <c r="A545" s="3"/>
    </row>
    <row r="546" spans="1:1">
      <c r="A546" s="3"/>
    </row>
    <row r="547" spans="1:1">
      <c r="A547" s="3"/>
    </row>
    <row r="548" spans="1:1">
      <c r="A548" s="3"/>
    </row>
    <row r="549" spans="1:1">
      <c r="A549" s="3"/>
    </row>
    <row r="550" spans="1:1">
      <c r="A550" s="3"/>
    </row>
    <row r="551" spans="1:1">
      <c r="A551" s="3"/>
    </row>
    <row r="552" spans="1:1">
      <c r="A552" s="3"/>
    </row>
    <row r="553" spans="1:1">
      <c r="A553" s="3"/>
    </row>
    <row r="554" spans="1:1">
      <c r="A554" s="3"/>
    </row>
    <row r="555" spans="1:1">
      <c r="A555" s="3"/>
    </row>
    <row r="556" spans="1:1">
      <c r="A556" s="3"/>
    </row>
    <row r="557" spans="1:1">
      <c r="A557" s="3"/>
    </row>
    <row r="558" spans="1:1">
      <c r="A558" s="3"/>
    </row>
    <row r="559" spans="1:1">
      <c r="A559" s="3"/>
    </row>
    <row r="560" spans="1:1">
      <c r="A560" s="3"/>
    </row>
    <row r="561" spans="1:1">
      <c r="A561" s="3"/>
    </row>
    <row r="562" spans="1:1">
      <c r="A562" s="3"/>
    </row>
    <row r="563" spans="1:1">
      <c r="A563" s="3"/>
    </row>
    <row r="564" spans="1:1">
      <c r="A564" s="3"/>
    </row>
    <row r="565" spans="1:1">
      <c r="A565" s="3"/>
    </row>
    <row r="566" spans="1:1">
      <c r="A566" s="3"/>
    </row>
    <row r="567" spans="1:1">
      <c r="A567" s="3"/>
    </row>
    <row r="568" spans="1:1">
      <c r="A568" s="3"/>
    </row>
    <row r="569" spans="1:1">
      <c r="A569" s="3"/>
    </row>
    <row r="570" spans="1:1">
      <c r="A570" s="3"/>
    </row>
    <row r="571" spans="1:1">
      <c r="A571" s="3"/>
    </row>
    <row r="572" spans="1:1">
      <c r="A572" s="3"/>
    </row>
    <row r="573" spans="1:1">
      <c r="A573" s="3"/>
    </row>
    <row r="574" spans="1:1">
      <c r="A574" s="3"/>
    </row>
    <row r="575" spans="1:1">
      <c r="A575" s="3"/>
    </row>
    <row r="576" spans="1:1">
      <c r="A576" s="3"/>
    </row>
    <row r="577" spans="1:1">
      <c r="A577" s="3"/>
    </row>
    <row r="578" spans="1:1">
      <c r="A578" s="3"/>
    </row>
    <row r="579" spans="1:1">
      <c r="A579" s="3"/>
    </row>
    <row r="580" spans="1:1">
      <c r="A580" s="3"/>
    </row>
    <row r="581" spans="1:1">
      <c r="A581" s="3"/>
    </row>
    <row r="582" spans="1:1">
      <c r="A582" s="3"/>
    </row>
    <row r="583" spans="1:1">
      <c r="A583" s="3"/>
    </row>
    <row r="584" spans="1:1">
      <c r="A584" s="3"/>
    </row>
    <row r="585" spans="1:1">
      <c r="A585" s="3"/>
    </row>
    <row r="586" spans="1:1">
      <c r="A586" s="3"/>
    </row>
    <row r="587" spans="1:1">
      <c r="A587" s="3"/>
    </row>
    <row r="588" spans="1:1">
      <c r="A588" s="3"/>
    </row>
    <row r="589" spans="1:1">
      <c r="A589" s="3"/>
    </row>
    <row r="590" spans="1:1">
      <c r="A590" s="3"/>
    </row>
    <row r="591" spans="1:1">
      <c r="A591" s="3"/>
    </row>
    <row r="592" spans="1:1">
      <c r="A592" s="3"/>
    </row>
    <row r="593" spans="1:1">
      <c r="A593" s="3"/>
    </row>
    <row r="594" spans="1:1">
      <c r="A594" s="3"/>
    </row>
    <row r="595" spans="1:1">
      <c r="A595" s="3"/>
    </row>
    <row r="596" spans="1:1">
      <c r="A596" s="3"/>
    </row>
    <row r="597" spans="1:1">
      <c r="A597" s="3"/>
    </row>
    <row r="598" spans="1:1">
      <c r="A598" s="3"/>
    </row>
    <row r="599" spans="1:1">
      <c r="A599" s="3"/>
    </row>
    <row r="600" spans="1:1">
      <c r="A600" s="3"/>
    </row>
    <row r="601" spans="1:1">
      <c r="A601" s="3"/>
    </row>
    <row r="602" spans="1:1">
      <c r="A602" s="3"/>
    </row>
    <row r="603" spans="1:1">
      <c r="A603" s="3"/>
    </row>
    <row r="604" spans="1:1">
      <c r="A604" s="3"/>
    </row>
    <row r="605" spans="1:1">
      <c r="A605" s="3"/>
    </row>
    <row r="606" spans="1:1">
      <c r="A606" s="3"/>
    </row>
    <row r="607" spans="1:1">
      <c r="A607" s="3"/>
    </row>
    <row r="608" spans="1:1">
      <c r="A608" s="3"/>
    </row>
    <row r="609" spans="1:1">
      <c r="A609" s="3"/>
    </row>
    <row r="610" spans="1:1">
      <c r="A610" s="3"/>
    </row>
    <row r="611" spans="1:1">
      <c r="A611" s="3"/>
    </row>
    <row r="612" spans="1:1">
      <c r="A612" s="3"/>
    </row>
    <row r="613" spans="1:1">
      <c r="A613" s="3"/>
    </row>
    <row r="614" spans="1:1">
      <c r="A614" s="3"/>
    </row>
    <row r="615" spans="1:1">
      <c r="A615" s="3"/>
    </row>
    <row r="616" spans="1:1">
      <c r="A616" s="3"/>
    </row>
    <row r="617" spans="1:1">
      <c r="A617" s="3"/>
    </row>
    <row r="618" spans="1:1">
      <c r="A618" s="3"/>
    </row>
    <row r="619" spans="1:1">
      <c r="A619" s="3"/>
    </row>
    <row r="620" spans="1:1">
      <c r="A620" s="3"/>
    </row>
    <row r="621" spans="1:1">
      <c r="A621" s="3"/>
    </row>
    <row r="622" spans="1:1">
      <c r="A622" s="3"/>
    </row>
    <row r="623" spans="1:1">
      <c r="A623" s="3"/>
    </row>
    <row r="624" spans="1:1">
      <c r="A624" s="3"/>
    </row>
    <row r="625" spans="1:1">
      <c r="A625" s="3"/>
    </row>
    <row r="626" spans="1:1">
      <c r="A626" s="3"/>
    </row>
    <row r="627" spans="1:1">
      <c r="A627" s="3"/>
    </row>
    <row r="628" spans="1:1">
      <c r="A628" s="3"/>
    </row>
    <row r="629" spans="1:1">
      <c r="A629" s="3"/>
    </row>
    <row r="630" spans="1:1">
      <c r="A630" s="3"/>
    </row>
    <row r="631" spans="1:1">
      <c r="A631" s="3"/>
    </row>
    <row r="632" spans="1:1">
      <c r="A632" s="3"/>
    </row>
    <row r="633" spans="1:1">
      <c r="A633" s="3"/>
    </row>
    <row r="634" spans="1:1">
      <c r="A634" s="3"/>
    </row>
    <row r="635" spans="1:1">
      <c r="A635" s="3"/>
    </row>
    <row r="636" spans="1:1">
      <c r="A636" s="3"/>
    </row>
    <row r="637" spans="1:1">
      <c r="A637" s="3"/>
    </row>
    <row r="638" spans="1:1">
      <c r="A638" s="3"/>
    </row>
    <row r="639" spans="1:1">
      <c r="A639" s="3"/>
    </row>
    <row r="640" spans="1:1">
      <c r="A640" s="3"/>
    </row>
    <row r="641" spans="1:1">
      <c r="A641" s="3"/>
    </row>
    <row r="642" spans="1:1">
      <c r="A642" s="3"/>
    </row>
    <row r="643" spans="1:1">
      <c r="A643" s="3"/>
    </row>
    <row r="644" spans="1:1">
      <c r="A644" s="3"/>
    </row>
    <row r="645" spans="1:1">
      <c r="A645" s="3"/>
    </row>
    <row r="646" spans="1:1">
      <c r="A646" s="3"/>
    </row>
    <row r="647" spans="1:1">
      <c r="A647" s="3"/>
    </row>
    <row r="648" spans="1:1">
      <c r="A648" s="3"/>
    </row>
    <row r="649" spans="1:1">
      <c r="A649" s="3"/>
    </row>
    <row r="650" spans="1:1">
      <c r="A650" s="3"/>
    </row>
    <row r="651" spans="1:1">
      <c r="A651" s="3"/>
    </row>
    <row r="652" spans="1:1">
      <c r="A652" s="3"/>
    </row>
    <row r="653" spans="1:1">
      <c r="A653" s="3"/>
    </row>
    <row r="654" spans="1:1">
      <c r="A654" s="3"/>
    </row>
    <row r="655" spans="1:1">
      <c r="A655" s="3"/>
    </row>
    <row r="656" spans="1:1">
      <c r="A656" s="3"/>
    </row>
    <row r="657" spans="1:1">
      <c r="A657" s="3"/>
    </row>
    <row r="658" spans="1:1">
      <c r="A658" s="3"/>
    </row>
    <row r="659" spans="1:1">
      <c r="A659" s="3"/>
    </row>
    <row r="660" spans="1:1">
      <c r="A660" s="3"/>
    </row>
    <row r="661" spans="1:1">
      <c r="A661" s="3"/>
    </row>
    <row r="662" spans="1:1">
      <c r="A662" s="3"/>
    </row>
    <row r="663" spans="1:1">
      <c r="A663" s="3"/>
    </row>
    <row r="664" spans="1:1">
      <c r="A664" s="3"/>
    </row>
    <row r="665" spans="1:1">
      <c r="A665" s="3"/>
    </row>
    <row r="666" spans="1:1">
      <c r="A666" s="3"/>
    </row>
    <row r="667" spans="1:1">
      <c r="A667" s="3"/>
    </row>
    <row r="668" spans="1:1">
      <c r="A668" s="3"/>
    </row>
    <row r="669" spans="1:1">
      <c r="A669" s="3"/>
    </row>
    <row r="670" spans="1:1">
      <c r="A670" s="3"/>
    </row>
    <row r="671" spans="1:1">
      <c r="A671" s="3"/>
    </row>
    <row r="672" spans="1:1">
      <c r="A672" s="3"/>
    </row>
    <row r="673" spans="1:1">
      <c r="A673" s="3"/>
    </row>
    <row r="674" spans="1:1">
      <c r="A674" s="3"/>
    </row>
    <row r="675" spans="1:1">
      <c r="A675" s="3"/>
    </row>
    <row r="676" spans="1:1">
      <c r="A676" s="3"/>
    </row>
    <row r="677" spans="1:1">
      <c r="A677" s="3"/>
    </row>
    <row r="678" spans="1:1">
      <c r="A678" s="3"/>
    </row>
    <row r="679" spans="1:1">
      <c r="A679" s="3"/>
    </row>
    <row r="680" spans="1:1">
      <c r="A680" s="3"/>
    </row>
    <row r="681" spans="1:1">
      <c r="A681" s="3"/>
    </row>
    <row r="682" spans="1:1">
      <c r="A682" s="3"/>
    </row>
    <row r="683" spans="1:1">
      <c r="A683" s="3"/>
    </row>
    <row r="684" spans="1:1">
      <c r="A684" s="3"/>
    </row>
    <row r="685" spans="1:1">
      <c r="A685" s="3"/>
    </row>
    <row r="686" spans="1:1">
      <c r="A686" s="3"/>
    </row>
    <row r="687" spans="1:1">
      <c r="A687" s="3"/>
    </row>
    <row r="688" spans="1:1">
      <c r="A688" s="3"/>
    </row>
    <row r="689" spans="1:1">
      <c r="A689" s="3"/>
    </row>
    <row r="690" spans="1:1">
      <c r="A690" s="3"/>
    </row>
    <row r="691" spans="1:1">
      <c r="A691" s="3"/>
    </row>
    <row r="692" spans="1:1">
      <c r="A692" s="3"/>
    </row>
    <row r="693" spans="1:1">
      <c r="A693" s="3"/>
    </row>
    <row r="694" spans="1:1">
      <c r="A694" s="3"/>
    </row>
    <row r="695" spans="1:1">
      <c r="A695" s="3"/>
    </row>
    <row r="696" spans="1:1">
      <c r="A696" s="3"/>
    </row>
    <row r="697" spans="1:1">
      <c r="A697" s="3"/>
    </row>
    <row r="698" spans="1:1">
      <c r="A698" s="3"/>
    </row>
    <row r="699" spans="1:1">
      <c r="A699" s="3"/>
    </row>
    <row r="700" spans="1:1">
      <c r="A700" s="3"/>
    </row>
    <row r="701" spans="1:1">
      <c r="A701" s="3"/>
    </row>
    <row r="702" spans="1:1">
      <c r="A702" s="3"/>
    </row>
    <row r="703" spans="1:1">
      <c r="A703" s="3"/>
    </row>
    <row r="704" spans="1:1">
      <c r="A704" s="3"/>
    </row>
    <row r="705" spans="1:1">
      <c r="A705" s="3"/>
    </row>
    <row r="706" spans="1:1">
      <c r="A706" s="3"/>
    </row>
    <row r="707" spans="1:1">
      <c r="A707" s="3"/>
    </row>
    <row r="708" spans="1:1">
      <c r="A708" s="3"/>
    </row>
    <row r="709" spans="1:1">
      <c r="A709" s="3"/>
    </row>
    <row r="710" spans="1:1">
      <c r="A710" s="3"/>
    </row>
    <row r="711" spans="1:1">
      <c r="A711" s="3"/>
    </row>
    <row r="712" spans="1:1">
      <c r="A712" s="3"/>
    </row>
    <row r="713" spans="1:1">
      <c r="A713" s="3"/>
    </row>
    <row r="714" spans="1:1">
      <c r="A714" s="3"/>
    </row>
    <row r="715" spans="1:1">
      <c r="A715" s="3"/>
    </row>
    <row r="716" spans="1:1">
      <c r="A716" s="3"/>
    </row>
    <row r="717" spans="1:1">
      <c r="A717" s="3"/>
    </row>
    <row r="718" spans="1:1">
      <c r="A718" s="3"/>
    </row>
    <row r="719" spans="1:1">
      <c r="A719" s="3"/>
    </row>
    <row r="720" spans="1:1">
      <c r="A720" s="3"/>
    </row>
    <row r="721" spans="1:1">
      <c r="A721" s="3"/>
    </row>
    <row r="722" spans="1:1">
      <c r="A722" s="3"/>
    </row>
    <row r="723" spans="1:1">
      <c r="A723" s="3"/>
    </row>
    <row r="724" spans="1:1">
      <c r="A724" s="3"/>
    </row>
    <row r="725" spans="1:1">
      <c r="A725" s="3"/>
    </row>
    <row r="726" spans="1:1">
      <c r="A726" s="3"/>
    </row>
    <row r="727" spans="1:1">
      <c r="A727" s="3"/>
    </row>
    <row r="728" spans="1:1">
      <c r="A728" s="3"/>
    </row>
    <row r="729" spans="1:1">
      <c r="A729" s="3"/>
    </row>
    <row r="730" spans="1:1">
      <c r="A730" s="3"/>
    </row>
    <row r="731" spans="1:1">
      <c r="A731" s="3"/>
    </row>
    <row r="732" spans="1:1">
      <c r="A732" s="3"/>
    </row>
    <row r="733" spans="1:1">
      <c r="A733" s="3"/>
    </row>
    <row r="734" spans="1:1">
      <c r="A734" s="3"/>
    </row>
    <row r="735" spans="1:1">
      <c r="A735" s="3"/>
    </row>
    <row r="736" spans="1:1">
      <c r="A736" s="3"/>
    </row>
    <row r="737" spans="1:1">
      <c r="A737" s="3"/>
    </row>
    <row r="738" spans="1:1">
      <c r="A738" s="3"/>
    </row>
    <row r="739" spans="1:1">
      <c r="A739" s="3"/>
    </row>
    <row r="740" spans="1:1">
      <c r="A740" s="3"/>
    </row>
    <row r="741" spans="1:1">
      <c r="A741" s="3"/>
    </row>
    <row r="742" spans="1:1">
      <c r="A742" s="3"/>
    </row>
    <row r="743" spans="1:1">
      <c r="A743" s="3"/>
    </row>
    <row r="744" spans="1:1">
      <c r="A744" s="3"/>
    </row>
    <row r="745" spans="1:1">
      <c r="A745" s="3"/>
    </row>
    <row r="746" spans="1:1">
      <c r="A746" s="3"/>
    </row>
    <row r="747" spans="1:1">
      <c r="A747" s="3"/>
    </row>
    <row r="748" spans="1:1">
      <c r="A748" s="3"/>
    </row>
    <row r="749" spans="1:1">
      <c r="A749" s="3"/>
    </row>
    <row r="750" spans="1:1">
      <c r="A750" s="3"/>
    </row>
    <row r="751" spans="1:1">
      <c r="A751" s="3"/>
    </row>
    <row r="752" spans="1:1">
      <c r="A752" s="3"/>
    </row>
    <row r="753" spans="1:1">
      <c r="A753" s="3"/>
    </row>
    <row r="754" spans="1:1">
      <c r="A754" s="3"/>
    </row>
    <row r="755" spans="1:1">
      <c r="A755" s="3"/>
    </row>
    <row r="756" spans="1:1">
      <c r="A756" s="3"/>
    </row>
    <row r="757" spans="1:1">
      <c r="A757" s="3"/>
    </row>
    <row r="758" spans="1:1">
      <c r="A758" s="3"/>
    </row>
    <row r="759" spans="1:1">
      <c r="A759" s="3"/>
    </row>
    <row r="760" spans="1:1">
      <c r="A760" s="3"/>
    </row>
    <row r="761" spans="1:1">
      <c r="A761" s="3"/>
    </row>
    <row r="762" spans="1:1">
      <c r="A762" s="3"/>
    </row>
    <row r="763" spans="1:1">
      <c r="A763" s="3"/>
    </row>
    <row r="764" spans="1:1">
      <c r="A764" s="3"/>
    </row>
    <row r="765" spans="1:1">
      <c r="A765" s="3"/>
    </row>
    <row r="766" spans="1:1">
      <c r="A766" s="3"/>
    </row>
    <row r="767" spans="1:1">
      <c r="A767" s="3"/>
    </row>
    <row r="768" spans="1:1">
      <c r="A768" s="3"/>
    </row>
    <row r="769" spans="1:1">
      <c r="A769" s="3"/>
    </row>
    <row r="770" spans="1:1">
      <c r="A770" s="3"/>
    </row>
    <row r="771" spans="1:1">
      <c r="A771" s="3"/>
    </row>
    <row r="772" spans="1:1">
      <c r="A772" s="3"/>
    </row>
    <row r="773" spans="1:1">
      <c r="A773" s="3"/>
    </row>
    <row r="774" spans="1:1">
      <c r="A774" s="3"/>
    </row>
    <row r="775" spans="1:1">
      <c r="A775" s="3"/>
    </row>
    <row r="776" spans="1:1">
      <c r="A776" s="3"/>
    </row>
    <row r="777" spans="1:1">
      <c r="A777" s="3"/>
    </row>
    <row r="778" spans="1:1">
      <c r="A778" s="3"/>
    </row>
    <row r="779" spans="1:1">
      <c r="A779" s="3"/>
    </row>
    <row r="780" spans="1:1">
      <c r="A780" s="3"/>
    </row>
    <row r="781" spans="1:1">
      <c r="A781" s="3"/>
    </row>
    <row r="782" spans="1:1">
      <c r="A782" s="3"/>
    </row>
    <row r="783" spans="1:1">
      <c r="A783" s="3"/>
    </row>
    <row r="784" spans="1:1">
      <c r="A784" s="3"/>
    </row>
    <row r="785" spans="1:1">
      <c r="A785" s="3"/>
    </row>
    <row r="786" spans="1:1">
      <c r="A786" s="3"/>
    </row>
    <row r="787" spans="1:1">
      <c r="A787" s="3"/>
    </row>
    <row r="788" spans="1:1">
      <c r="A788" s="3"/>
    </row>
    <row r="789" spans="1:1">
      <c r="A789" s="3"/>
    </row>
    <row r="790" spans="1:1">
      <c r="A790" s="3"/>
    </row>
    <row r="791" spans="1:1">
      <c r="A791" s="3"/>
    </row>
    <row r="792" spans="1:1">
      <c r="A792" s="3"/>
    </row>
    <row r="793" spans="1:1">
      <c r="A793" s="3"/>
    </row>
    <row r="794" spans="1:1">
      <c r="A794" s="3"/>
    </row>
    <row r="795" spans="1:1">
      <c r="A795" s="3"/>
    </row>
    <row r="796" spans="1:1">
      <c r="A796" s="3"/>
    </row>
    <row r="797" spans="1:1">
      <c r="A797" s="3"/>
    </row>
    <row r="798" spans="1:1">
      <c r="A798" s="3"/>
    </row>
    <row r="799" spans="1:1">
      <c r="A799" s="3"/>
    </row>
    <row r="800" spans="1:1">
      <c r="A800" s="3"/>
    </row>
    <row r="801" spans="1:1">
      <c r="A801" s="3"/>
    </row>
    <row r="802" spans="1:1">
      <c r="A802" s="3"/>
    </row>
    <row r="803" spans="1:1">
      <c r="A803" s="3"/>
    </row>
    <row r="804" spans="1:1">
      <c r="A804" s="3"/>
    </row>
    <row r="805" spans="1:1">
      <c r="A805" s="3"/>
    </row>
    <row r="806" spans="1:1">
      <c r="A806" s="3"/>
    </row>
    <row r="807" spans="1:1">
      <c r="A807" s="3"/>
    </row>
    <row r="808" spans="1:1">
      <c r="A808" s="3"/>
    </row>
    <row r="809" spans="1:1">
      <c r="A809" s="3"/>
    </row>
    <row r="810" spans="1:1">
      <c r="A810" s="3"/>
    </row>
    <row r="811" spans="1:1">
      <c r="A811" s="3"/>
    </row>
    <row r="812" spans="1:1">
      <c r="A812" s="3"/>
    </row>
    <row r="813" spans="1:1">
      <c r="A813" s="3"/>
    </row>
    <row r="814" spans="1:1">
      <c r="A814" s="3"/>
    </row>
    <row r="815" spans="1:1">
      <c r="A815" s="3"/>
    </row>
    <row r="816" spans="1:1">
      <c r="A816" s="3"/>
    </row>
    <row r="817" spans="1:1">
      <c r="A817" s="3"/>
    </row>
    <row r="818" spans="1:1">
      <c r="A818" s="3"/>
    </row>
    <row r="819" spans="1:1">
      <c r="A819" s="3"/>
    </row>
    <row r="820" spans="1:1">
      <c r="A820" s="3"/>
    </row>
    <row r="821" spans="1:1">
      <c r="A821" s="3"/>
    </row>
    <row r="822" spans="1:1">
      <c r="A822" s="3"/>
    </row>
    <row r="823" spans="1:1">
      <c r="A823" s="3"/>
    </row>
    <row r="824" spans="1:1">
      <c r="A824" s="3"/>
    </row>
    <row r="825" spans="1:1">
      <c r="A825" s="3"/>
    </row>
    <row r="826" spans="1:1">
      <c r="A826" s="3"/>
    </row>
    <row r="827" spans="1:1">
      <c r="A827" s="3"/>
    </row>
    <row r="828" spans="1:1">
      <c r="A828" s="3"/>
    </row>
    <row r="829" spans="1:1">
      <c r="A829" s="3"/>
    </row>
    <row r="830" spans="1:1">
      <c r="A830" s="3"/>
    </row>
    <row r="831" spans="1:1">
      <c r="A831" s="3"/>
    </row>
    <row r="832" spans="1:1">
      <c r="A832" s="3"/>
    </row>
    <row r="833" spans="1:1">
      <c r="A833" s="3"/>
    </row>
    <row r="834" spans="1:1">
      <c r="A834" s="3"/>
    </row>
    <row r="835" spans="1:1">
      <c r="A835" s="3"/>
    </row>
    <row r="836" spans="1:1">
      <c r="A836" s="3"/>
    </row>
    <row r="837" spans="1:1">
      <c r="A837" s="3"/>
    </row>
    <row r="838" spans="1:1">
      <c r="A838" s="3"/>
    </row>
    <row r="839" spans="1:1">
      <c r="A839" s="3"/>
    </row>
    <row r="840" spans="1:1">
      <c r="A840" s="3"/>
    </row>
    <row r="841" spans="1:1">
      <c r="A841" s="3"/>
    </row>
    <row r="842" spans="1:1">
      <c r="A842" s="3"/>
    </row>
    <row r="843" spans="1:1">
      <c r="A843" s="3"/>
    </row>
    <row r="844" spans="1:1">
      <c r="A844" s="3"/>
    </row>
    <row r="845" spans="1:1">
      <c r="A845" s="3"/>
    </row>
    <row r="846" spans="1:1">
      <c r="A846" s="3"/>
    </row>
    <row r="847" spans="1:1">
      <c r="A847" s="3"/>
    </row>
    <row r="848" spans="1:1">
      <c r="A848" s="3"/>
    </row>
    <row r="849" spans="1:1">
      <c r="A849" s="3"/>
    </row>
    <row r="850" spans="1:1">
      <c r="A850" s="3"/>
    </row>
    <row r="851" spans="1:1">
      <c r="A851" s="3"/>
    </row>
    <row r="852" spans="1:1">
      <c r="A852" s="3"/>
    </row>
    <row r="853" spans="1:1">
      <c r="A853" s="3"/>
    </row>
    <row r="854" spans="1:1">
      <c r="A854" s="3"/>
    </row>
    <row r="855" spans="1:1">
      <c r="A855" s="3"/>
    </row>
    <row r="856" spans="1:1">
      <c r="A856" s="3"/>
    </row>
    <row r="857" spans="1:1">
      <c r="A857" s="3"/>
    </row>
    <row r="858" spans="1:1">
      <c r="A858" s="3"/>
    </row>
    <row r="859" spans="1:1">
      <c r="A859" s="3"/>
    </row>
    <row r="860" spans="1:1">
      <c r="A860" s="3"/>
    </row>
    <row r="861" spans="1:1">
      <c r="A861" s="3"/>
    </row>
    <row r="862" spans="1:1">
      <c r="A862" s="3"/>
    </row>
    <row r="863" spans="1:1">
      <c r="A863" s="3"/>
    </row>
    <row r="864" spans="1:1">
      <c r="A864" s="3"/>
    </row>
    <row r="865" spans="1:1">
      <c r="A865" s="3"/>
    </row>
    <row r="866" spans="1:1">
      <c r="A866" s="3"/>
    </row>
    <row r="867" spans="1:1">
      <c r="A867" s="3"/>
    </row>
    <row r="868" spans="1:1">
      <c r="A868" s="3"/>
    </row>
    <row r="869" spans="1:1">
      <c r="A869" s="3"/>
    </row>
    <row r="870" spans="1:1">
      <c r="A870" s="3"/>
    </row>
    <row r="871" spans="1:1">
      <c r="A871" s="3"/>
    </row>
    <row r="872" spans="1:1">
      <c r="A872" s="3"/>
    </row>
    <row r="873" spans="1:1">
      <c r="A873" s="3"/>
    </row>
    <row r="874" spans="1:1">
      <c r="A874" s="3"/>
    </row>
    <row r="875" spans="1:1">
      <c r="A875" s="3"/>
    </row>
    <row r="876" spans="1:1">
      <c r="A876" s="3"/>
    </row>
    <row r="877" spans="1:1">
      <c r="A877" s="3"/>
    </row>
    <row r="878" spans="1:1">
      <c r="A878" s="3"/>
    </row>
    <row r="879" spans="1:1">
      <c r="A879" s="3"/>
    </row>
    <row r="880" spans="1:1">
      <c r="A880" s="3"/>
    </row>
    <row r="881" spans="1:1">
      <c r="A881" s="3"/>
    </row>
    <row r="882" spans="1:1">
      <c r="A882" s="3"/>
    </row>
    <row r="883" spans="1:1">
      <c r="A883" s="3"/>
    </row>
    <row r="884" spans="1:1">
      <c r="A884" s="3"/>
    </row>
    <row r="885" spans="1:1">
      <c r="A885" s="3"/>
    </row>
    <row r="886" spans="1:1">
      <c r="A886" s="3"/>
    </row>
    <row r="887" spans="1:1">
      <c r="A887" s="3"/>
    </row>
    <row r="888" spans="1:1">
      <c r="A888" s="3"/>
    </row>
    <row r="889" spans="1:1">
      <c r="A889" s="3"/>
    </row>
    <row r="890" spans="1:1">
      <c r="A890" s="3"/>
    </row>
    <row r="891" spans="1:1">
      <c r="A891" s="3"/>
    </row>
    <row r="892" spans="1:1">
      <c r="A892" s="3"/>
    </row>
    <row r="893" spans="1:1">
      <c r="A893" s="3"/>
    </row>
    <row r="894" spans="1:1">
      <c r="A894" s="3"/>
    </row>
    <row r="895" spans="1:1">
      <c r="A895" s="3"/>
    </row>
    <row r="896" spans="1:1">
      <c r="A896" s="3"/>
    </row>
    <row r="897" spans="1:1">
      <c r="A897" s="3"/>
    </row>
    <row r="898" spans="1:1">
      <c r="A898" s="3"/>
    </row>
    <row r="899" spans="1:1">
      <c r="A899" s="3"/>
    </row>
    <row r="900" spans="1:1">
      <c r="A900" s="3"/>
    </row>
    <row r="901" spans="1:1">
      <c r="A901" s="3"/>
    </row>
    <row r="902" spans="1:1">
      <c r="A902" s="3"/>
    </row>
    <row r="903" spans="1:1">
      <c r="A903" s="3"/>
    </row>
    <row r="904" spans="1:1">
      <c r="A904" s="3"/>
    </row>
    <row r="905" spans="1:1">
      <c r="A905" s="3"/>
    </row>
    <row r="906" spans="1:1">
      <c r="A906" s="3"/>
    </row>
    <row r="907" spans="1:1">
      <c r="A907" s="3"/>
    </row>
    <row r="908" spans="1:1">
      <c r="A908" s="3"/>
    </row>
    <row r="909" spans="1:1">
      <c r="A909" s="3"/>
    </row>
    <row r="910" spans="1:1">
      <c r="A910" s="3"/>
    </row>
    <row r="911" spans="1:1">
      <c r="A911" s="3"/>
    </row>
    <row r="912" spans="1:1">
      <c r="A912" s="3"/>
    </row>
    <row r="913" spans="1:1">
      <c r="A913" s="3"/>
    </row>
    <row r="914" spans="1:1">
      <c r="A914" s="3"/>
    </row>
    <row r="915" spans="1:1">
      <c r="A915" s="3"/>
    </row>
    <row r="916" spans="1:1">
      <c r="A916" s="3"/>
    </row>
    <row r="917" spans="1:1">
      <c r="A917" s="3"/>
    </row>
    <row r="918" spans="1:1">
      <c r="A918" s="3"/>
    </row>
    <row r="919" spans="1:1">
      <c r="A919" s="3"/>
    </row>
    <row r="920" spans="1:1">
      <c r="A920" s="3"/>
    </row>
    <row r="921" spans="1:1">
      <c r="A921" s="3"/>
    </row>
    <row r="922" spans="1:1">
      <c r="A922" s="3"/>
    </row>
    <row r="923" spans="1:1">
      <c r="A923" s="3"/>
    </row>
    <row r="924" spans="1:1">
      <c r="A924" s="3"/>
    </row>
    <row r="925" spans="1:1">
      <c r="A925" s="3"/>
    </row>
    <row r="926" spans="1:1">
      <c r="A926" s="3"/>
    </row>
    <row r="927" spans="1:1">
      <c r="A927" s="3"/>
    </row>
    <row r="928" spans="1:1">
      <c r="A928" s="3"/>
    </row>
    <row r="929" spans="1:1">
      <c r="A929" s="3"/>
    </row>
    <row r="930" spans="1:1">
      <c r="A930" s="3"/>
    </row>
    <row r="931" spans="1:1">
      <c r="A931" s="3"/>
    </row>
    <row r="932" spans="1:1">
      <c r="A932" s="3"/>
    </row>
    <row r="933" spans="1:1">
      <c r="A933" s="3"/>
    </row>
    <row r="934" spans="1:1">
      <c r="A934" s="3"/>
    </row>
    <row r="935" spans="1:1">
      <c r="A935" s="3"/>
    </row>
    <row r="936" spans="1:1">
      <c r="A936" s="3"/>
    </row>
    <row r="937" spans="1:1">
      <c r="A937" s="3"/>
    </row>
    <row r="938" spans="1:1">
      <c r="A938" s="3"/>
    </row>
    <row r="939" spans="1:1">
      <c r="A939" s="3"/>
    </row>
    <row r="940" spans="1:1">
      <c r="A940" s="3"/>
    </row>
    <row r="941" spans="1:1">
      <c r="A941" s="3"/>
    </row>
    <row r="942" spans="1:1">
      <c r="A942" s="3"/>
    </row>
    <row r="943" spans="1:1">
      <c r="A943" s="3"/>
    </row>
    <row r="944" spans="1:1">
      <c r="A944" s="3"/>
    </row>
    <row r="945" spans="1:1">
      <c r="A945" s="3"/>
    </row>
    <row r="946" spans="1:1">
      <c r="A946" s="3"/>
    </row>
    <row r="947" spans="1:1">
      <c r="A947" s="3"/>
    </row>
    <row r="948" spans="1:1">
      <c r="A948" s="3"/>
    </row>
    <row r="949" spans="1:1">
      <c r="A949" s="3"/>
    </row>
    <row r="950" spans="1:1">
      <c r="A950" s="3"/>
    </row>
    <row r="951" spans="1:1">
      <c r="A951" s="3"/>
    </row>
    <row r="952" spans="1:1">
      <c r="A952" s="3"/>
    </row>
    <row r="953" spans="1:1">
      <c r="A953" s="3"/>
    </row>
    <row r="954" spans="1:1">
      <c r="A954" s="3"/>
    </row>
    <row r="955" spans="1:1">
      <c r="A955" s="3"/>
    </row>
    <row r="956" spans="1:1">
      <c r="A956" s="3"/>
    </row>
    <row r="957" spans="1:1">
      <c r="A957" s="3"/>
    </row>
    <row r="958" spans="1:1">
      <c r="A958" s="3"/>
    </row>
    <row r="959" spans="1:1">
      <c r="A959" s="3"/>
    </row>
    <row r="960" spans="1:1">
      <c r="A960" s="3"/>
    </row>
    <row r="961" spans="1:1">
      <c r="A961" s="3"/>
    </row>
    <row r="962" spans="1:1">
      <c r="A962" s="3"/>
    </row>
    <row r="963" spans="1:1">
      <c r="A963" s="3"/>
    </row>
    <row r="964" spans="1:1">
      <c r="A964" s="3"/>
    </row>
    <row r="965" spans="1:1">
      <c r="A965" s="3"/>
    </row>
    <row r="966" spans="1:1">
      <c r="A966" s="3"/>
    </row>
    <row r="967" spans="1:1">
      <c r="A967" s="3"/>
    </row>
    <row r="968" spans="1:1">
      <c r="A968" s="3"/>
    </row>
    <row r="969" spans="1:1">
      <c r="A969" s="3"/>
    </row>
    <row r="970" spans="1:1">
      <c r="A970" s="3"/>
    </row>
    <row r="971" spans="1:1">
      <c r="A971" s="3"/>
    </row>
    <row r="972" spans="1:1">
      <c r="A972" s="3"/>
    </row>
    <row r="973" spans="1:1">
      <c r="A973" s="3"/>
    </row>
    <row r="974" spans="1:1">
      <c r="A974" s="3"/>
    </row>
    <row r="975" spans="1:1">
      <c r="A975" s="3"/>
    </row>
    <row r="976" spans="1:1">
      <c r="A976" s="3"/>
    </row>
    <row r="977" spans="1:1">
      <c r="A977" s="3"/>
    </row>
    <row r="978" spans="1:1">
      <c r="A978" s="3"/>
    </row>
    <row r="979" spans="1:1">
      <c r="A979" s="3"/>
    </row>
    <row r="980" spans="1:1">
      <c r="A980" s="3"/>
    </row>
    <row r="981" spans="1:1">
      <c r="A981" s="3"/>
    </row>
    <row r="982" spans="1:1">
      <c r="A982" s="3"/>
    </row>
    <row r="983" spans="1:1">
      <c r="A983" s="3"/>
    </row>
    <row r="984" spans="1:1">
      <c r="A984" s="3"/>
    </row>
    <row r="985" spans="1:1">
      <c r="A985" s="3"/>
    </row>
    <row r="986" spans="1:1">
      <c r="A986" s="3"/>
    </row>
    <row r="987" spans="1:1">
      <c r="A987" s="3"/>
    </row>
    <row r="988" spans="1:1">
      <c r="A988" s="3"/>
    </row>
    <row r="989" spans="1:1">
      <c r="A989" s="3"/>
    </row>
    <row r="990" spans="1:1">
      <c r="A990" s="3"/>
    </row>
    <row r="991" spans="1:1">
      <c r="A991" s="3"/>
    </row>
    <row r="992" spans="1:1">
      <c r="A992" s="3"/>
    </row>
    <row r="993" spans="1:1">
      <c r="A993" s="3"/>
    </row>
    <row r="994" spans="1:1">
      <c r="A994" s="3"/>
    </row>
    <row r="995" spans="1:1">
      <c r="A995" s="3"/>
    </row>
    <row r="996" spans="1:1">
      <c r="A996" s="3"/>
    </row>
    <row r="997" spans="1:1">
      <c r="A997" s="3"/>
    </row>
    <row r="998" spans="1:1">
      <c r="A998" s="3"/>
    </row>
    <row r="999" spans="1:1">
      <c r="A999" s="3"/>
    </row>
    <row r="1000" spans="1:1">
      <c r="A1000" s="3"/>
    </row>
    <row r="1001" spans="1:1">
      <c r="A1001" s="3"/>
    </row>
    <row r="1002" spans="1:1">
      <c r="A1002" s="3"/>
    </row>
    <row r="1003" spans="1:1">
      <c r="A1003" s="3"/>
    </row>
    <row r="1004" spans="1:1">
      <c r="A1004" s="3"/>
    </row>
    <row r="1005" spans="1:1">
      <c r="A1005" s="3"/>
    </row>
    <row r="1006" spans="1:1">
      <c r="A1006" s="3"/>
    </row>
    <row r="1007" spans="1:1">
      <c r="A1007" s="3"/>
    </row>
    <row r="1008" spans="1:1">
      <c r="A1008" s="3"/>
    </row>
    <row r="1009" spans="1:1">
      <c r="A1009" s="3"/>
    </row>
    <row r="1010" spans="1:1">
      <c r="A1010" s="3"/>
    </row>
    <row r="1011" spans="1:1">
      <c r="A1011" s="3"/>
    </row>
    <row r="1012" spans="1:1">
      <c r="A1012" s="3"/>
    </row>
    <row r="1013" spans="1:1">
      <c r="A1013" s="3"/>
    </row>
    <row r="1014" spans="1:1">
      <c r="A1014" s="3"/>
    </row>
    <row r="1015" spans="1:1">
      <c r="A1015" s="3"/>
    </row>
    <row r="1016" spans="1:1">
      <c r="A1016" s="3"/>
    </row>
    <row r="1017" spans="1:1">
      <c r="A1017" s="3"/>
    </row>
    <row r="1018" spans="1:1">
      <c r="A1018" s="3"/>
    </row>
    <row r="1019" spans="1:1">
      <c r="A1019" s="3"/>
    </row>
    <row r="1020" spans="1:1">
      <c r="A1020" s="3"/>
    </row>
    <row r="1021" spans="1:1">
      <c r="A1021" s="3"/>
    </row>
    <row r="1022" spans="1:1">
      <c r="A1022" s="3"/>
    </row>
    <row r="1023" spans="1:1">
      <c r="A1023" s="3"/>
    </row>
    <row r="1024" spans="1:1">
      <c r="A1024" s="3"/>
    </row>
    <row r="1025" spans="1:1">
      <c r="A1025" s="3"/>
    </row>
    <row r="1026" spans="1:1">
      <c r="A1026" s="3"/>
    </row>
    <row r="1027" spans="1:1">
      <c r="A1027" s="3"/>
    </row>
    <row r="1028" spans="1:1">
      <c r="A1028" s="3"/>
    </row>
    <row r="1029" spans="1:1">
      <c r="A1029" s="3"/>
    </row>
    <row r="1030" spans="1:1">
      <c r="A1030" s="3"/>
    </row>
    <row r="1031" spans="1:1">
      <c r="A1031" s="3"/>
    </row>
    <row r="1032" spans="1:1">
      <c r="A1032" s="3"/>
    </row>
    <row r="1033" spans="1:1">
      <c r="A1033" s="3"/>
    </row>
    <row r="1034" spans="1:1">
      <c r="A1034" s="3"/>
    </row>
    <row r="1035" spans="1:1">
      <c r="A1035" s="3"/>
    </row>
    <row r="1036" spans="1:1">
      <c r="A1036" s="3"/>
    </row>
    <row r="1037" spans="1:1">
      <c r="A1037" s="3"/>
    </row>
    <row r="1038" spans="1:1">
      <c r="A1038" s="3"/>
    </row>
    <row r="1039" spans="1:1">
      <c r="A1039" s="3"/>
    </row>
    <row r="1040" spans="1:1">
      <c r="A1040" s="3"/>
    </row>
    <row r="1041" spans="1:1">
      <c r="A1041" s="3"/>
    </row>
    <row r="1042" spans="1:1">
      <c r="A1042" s="3"/>
    </row>
    <row r="1043" spans="1:1">
      <c r="A1043" s="3"/>
    </row>
    <row r="1044" spans="1:1">
      <c r="A1044" s="3"/>
    </row>
    <row r="1045" spans="1:1">
      <c r="A1045" s="3"/>
    </row>
    <row r="1046" spans="1:1">
      <c r="A1046" s="3"/>
    </row>
    <row r="1047" spans="1:1">
      <c r="A1047" s="3"/>
    </row>
    <row r="1048" spans="1:1">
      <c r="A1048" s="3"/>
    </row>
    <row r="1049" spans="1:1">
      <c r="A1049" s="3"/>
    </row>
    <row r="1050" spans="1:1">
      <c r="A1050" s="3"/>
    </row>
    <row r="1051" spans="1:1">
      <c r="A1051" s="3"/>
    </row>
    <row r="1052" spans="1:1">
      <c r="A1052" s="3"/>
    </row>
    <row r="1053" spans="1:1">
      <c r="A1053" s="3"/>
    </row>
    <row r="1054" spans="1:1">
      <c r="A1054" s="3"/>
    </row>
    <row r="1055" spans="1:1">
      <c r="A1055" s="3"/>
    </row>
    <row r="1056" spans="1:1">
      <c r="A1056" s="3"/>
    </row>
    <row r="1057" spans="1:1">
      <c r="A1057" s="3"/>
    </row>
    <row r="1058" spans="1:1">
      <c r="A1058" s="3"/>
    </row>
    <row r="1059" spans="1:1">
      <c r="A1059" s="3"/>
    </row>
    <row r="1060" spans="1:1">
      <c r="A1060" s="3"/>
    </row>
    <row r="1061" spans="1:1">
      <c r="A1061" s="3"/>
    </row>
    <row r="1062" spans="1:1">
      <c r="A1062" s="3"/>
    </row>
    <row r="1063" spans="1:1">
      <c r="A1063" s="3"/>
    </row>
    <row r="1064" spans="1:1">
      <c r="A1064" s="3"/>
    </row>
    <row r="1065" spans="1:1">
      <c r="A1065" s="3"/>
    </row>
    <row r="1066" spans="1:1">
      <c r="A1066" s="3"/>
    </row>
    <row r="1067" spans="1:1">
      <c r="A1067" s="3"/>
    </row>
    <row r="1068" spans="1:1">
      <c r="A1068" s="3"/>
    </row>
    <row r="1069" spans="1:1">
      <c r="A1069" s="3"/>
    </row>
    <row r="1070" spans="1:1">
      <c r="A1070" s="3"/>
    </row>
    <row r="1071" spans="1:1">
      <c r="A1071" s="3"/>
    </row>
    <row r="1072" spans="1:1">
      <c r="A1072" s="3"/>
    </row>
    <row r="1073" spans="1:1">
      <c r="A1073" s="3"/>
    </row>
    <row r="1074" spans="1:1">
      <c r="A1074" s="3"/>
    </row>
    <row r="1075" spans="1:1">
      <c r="A1075" s="3"/>
    </row>
    <row r="1076" spans="1:1">
      <c r="A1076" s="3"/>
    </row>
    <row r="1077" spans="1:1">
      <c r="A1077" s="3"/>
    </row>
    <row r="1078" spans="1:1">
      <c r="A1078" s="3"/>
    </row>
    <row r="1079" spans="1:1">
      <c r="A1079" s="3"/>
    </row>
    <row r="1080" spans="1:1">
      <c r="A1080" s="3"/>
    </row>
    <row r="1081" spans="1:1">
      <c r="A1081" s="3"/>
    </row>
    <row r="1082" spans="1:1">
      <c r="A1082" s="3"/>
    </row>
    <row r="1083" spans="1:1">
      <c r="A1083" s="3"/>
    </row>
    <row r="1084" spans="1:1">
      <c r="A1084" s="3"/>
    </row>
    <row r="1085" spans="1:1">
      <c r="A1085" s="3"/>
    </row>
    <row r="1086" spans="1:1">
      <c r="A1086" s="3"/>
    </row>
    <row r="1087" spans="1:1">
      <c r="A1087" s="3"/>
    </row>
    <row r="1088" spans="1:1">
      <c r="A1088" s="3"/>
    </row>
    <row r="1089" spans="1:1">
      <c r="A1089" s="3"/>
    </row>
    <row r="1090" spans="1:1">
      <c r="A1090" s="3"/>
    </row>
    <row r="1091" spans="1:1">
      <c r="A1091" s="3"/>
    </row>
    <row r="1092" spans="1:1">
      <c r="A1092" s="3"/>
    </row>
    <row r="1093" spans="1:1">
      <c r="A1093" s="3"/>
    </row>
    <row r="1094" spans="1:1">
      <c r="A1094" s="3"/>
    </row>
    <row r="1095" spans="1:1">
      <c r="A1095" s="3"/>
    </row>
    <row r="1096" spans="1:1">
      <c r="A1096" s="3"/>
    </row>
    <row r="1097" spans="1:1">
      <c r="A1097" s="3"/>
    </row>
    <row r="1098" spans="1:1">
      <c r="A1098" s="3"/>
    </row>
    <row r="1099" spans="1:1">
      <c r="A1099" s="3"/>
    </row>
    <row r="1100" spans="1:1">
      <c r="A1100" s="3"/>
    </row>
    <row r="1101" spans="1:1">
      <c r="A1101" s="3"/>
    </row>
    <row r="1102" spans="1:1">
      <c r="A1102" s="3"/>
    </row>
    <row r="1103" spans="1:1">
      <c r="A1103" s="3"/>
    </row>
    <row r="1104" spans="1:1">
      <c r="A1104" s="3"/>
    </row>
    <row r="1105" spans="1:1">
      <c r="A1105" s="3"/>
    </row>
    <row r="1106" spans="1:1">
      <c r="A1106" s="3"/>
    </row>
    <row r="1107" spans="1:1">
      <c r="A1107" s="3"/>
    </row>
    <row r="1108" spans="1:1">
      <c r="A1108" s="3"/>
    </row>
    <row r="1109" spans="1:1">
      <c r="A1109" s="3"/>
    </row>
    <row r="1110" spans="1:1">
      <c r="A1110" s="3"/>
    </row>
    <row r="1111" spans="1:1">
      <c r="A1111" s="3"/>
    </row>
    <row r="1112" spans="1:1">
      <c r="A1112" s="3"/>
    </row>
    <row r="1113" spans="1:1">
      <c r="A1113" s="3"/>
    </row>
    <row r="1114" spans="1:1">
      <c r="A1114" s="3"/>
    </row>
    <row r="1115" spans="1:1">
      <c r="A1115" s="3"/>
    </row>
    <row r="1116" spans="1:1">
      <c r="A1116" s="3"/>
    </row>
    <row r="1117" spans="1:1">
      <c r="A1117" s="3"/>
    </row>
    <row r="1118" spans="1:1">
      <c r="A1118" s="3"/>
    </row>
    <row r="1119" spans="1:1">
      <c r="A1119" s="3"/>
    </row>
    <row r="1120" spans="1:1">
      <c r="A1120" s="3"/>
    </row>
    <row r="1121" spans="1:1">
      <c r="A1121" s="3"/>
    </row>
    <row r="1122" spans="1:1">
      <c r="A1122" s="3"/>
    </row>
    <row r="1123" spans="1:1">
      <c r="A1123" s="3"/>
    </row>
    <row r="1124" spans="1:1">
      <c r="A1124" s="3"/>
    </row>
    <row r="1125" spans="1:1">
      <c r="A1125" s="3"/>
    </row>
    <row r="1126" spans="1:1">
      <c r="A1126" s="3"/>
    </row>
    <row r="1127" spans="1:1">
      <c r="A1127" s="3"/>
    </row>
    <row r="1128" spans="1:1">
      <c r="A1128" s="3"/>
    </row>
    <row r="1129" spans="1:1">
      <c r="A1129" s="3"/>
    </row>
    <row r="1130" spans="1:1">
      <c r="A1130" s="3"/>
    </row>
    <row r="1131" spans="1:1">
      <c r="A1131" s="3"/>
    </row>
    <row r="1132" spans="1:1">
      <c r="A1132" s="3"/>
    </row>
    <row r="1133" spans="1:1">
      <c r="A1133" s="3"/>
    </row>
    <row r="1134" spans="1:1">
      <c r="A1134" s="3"/>
    </row>
    <row r="1135" spans="1:1">
      <c r="A1135" s="3"/>
    </row>
    <row r="1136" spans="1:1">
      <c r="A1136" s="3"/>
    </row>
    <row r="1137" spans="1:1">
      <c r="A1137" s="3"/>
    </row>
    <row r="1138" spans="1:1">
      <c r="A1138" s="3"/>
    </row>
    <row r="1139" spans="1:1">
      <c r="A1139" s="3"/>
    </row>
    <row r="1140" spans="1:1">
      <c r="A1140" s="3"/>
    </row>
    <row r="1141" spans="1:1">
      <c r="A1141" s="3"/>
    </row>
    <row r="1142" spans="1:1">
      <c r="A1142" s="3"/>
    </row>
    <row r="1143" spans="1:1">
      <c r="A1143" s="3"/>
    </row>
    <row r="1144" spans="1:1">
      <c r="A1144" s="3"/>
    </row>
    <row r="1145" spans="1:1">
      <c r="A1145" s="3"/>
    </row>
    <row r="1146" spans="1:1">
      <c r="A1146" s="3"/>
    </row>
    <row r="1147" spans="1:1">
      <c r="A1147" s="3"/>
    </row>
    <row r="1148" spans="1:1">
      <c r="A1148" s="3"/>
    </row>
    <row r="1149" spans="1:1">
      <c r="A1149" s="3"/>
    </row>
    <row r="1150" spans="1:1">
      <c r="A1150" s="3"/>
    </row>
    <row r="1151" spans="1:1">
      <c r="A1151" s="3"/>
    </row>
    <row r="1152" spans="1:1">
      <c r="A1152" s="3"/>
    </row>
    <row r="1153" spans="1:1">
      <c r="A1153" s="3"/>
    </row>
    <row r="1154" spans="1:1">
      <c r="A1154" s="3"/>
    </row>
    <row r="1155" spans="1:1">
      <c r="A1155" s="3"/>
    </row>
    <row r="1156" spans="1:1">
      <c r="A1156" s="3"/>
    </row>
    <row r="1157" spans="1:1">
      <c r="A1157" s="3"/>
    </row>
    <row r="1158" spans="1:1">
      <c r="A1158" s="3"/>
    </row>
    <row r="1159" spans="1:1">
      <c r="A1159" s="3"/>
    </row>
    <row r="1160" spans="1:1">
      <c r="A1160" s="3"/>
    </row>
    <row r="1161" spans="1:1">
      <c r="A1161" s="3"/>
    </row>
    <row r="1162" spans="1:1">
      <c r="A1162" s="3"/>
    </row>
    <row r="1163" spans="1:1">
      <c r="A1163" s="3"/>
    </row>
    <row r="1164" spans="1:1">
      <c r="A1164" s="3"/>
    </row>
    <row r="1165" spans="1:1">
      <c r="A1165" s="3"/>
    </row>
    <row r="1166" spans="1:1">
      <c r="A1166" s="3"/>
    </row>
    <row r="1167" spans="1:1">
      <c r="A1167" s="3"/>
    </row>
    <row r="1168" spans="1:1">
      <c r="A1168" s="3"/>
    </row>
    <row r="1169" spans="1:1">
      <c r="A1169" s="3"/>
    </row>
    <row r="1170" spans="1:1">
      <c r="A1170" s="3"/>
    </row>
    <row r="1171" spans="1:1">
      <c r="A1171" s="3"/>
    </row>
    <row r="1172" spans="1:1">
      <c r="A1172" s="3"/>
    </row>
    <row r="1173" spans="1:1">
      <c r="A1173" s="3"/>
    </row>
    <row r="1174" spans="1:1">
      <c r="A1174" s="3"/>
    </row>
    <row r="1175" spans="1:1">
      <c r="A1175" s="3"/>
    </row>
    <row r="1176" spans="1:1">
      <c r="A1176" s="3"/>
    </row>
    <row r="1177" spans="1:1">
      <c r="A1177" s="3"/>
    </row>
    <row r="1178" spans="1:1">
      <c r="A1178" s="3"/>
    </row>
    <row r="1179" spans="1:1">
      <c r="A1179" s="3"/>
    </row>
    <row r="1180" spans="1:1">
      <c r="A1180" s="3"/>
    </row>
    <row r="1181" spans="1:1">
      <c r="A1181" s="3"/>
    </row>
    <row r="1182" spans="1:1">
      <c r="A1182" s="3"/>
    </row>
    <row r="1183" spans="1:1">
      <c r="A1183" s="3"/>
    </row>
    <row r="1184" spans="1:1">
      <c r="A1184" s="3"/>
    </row>
    <row r="1185" spans="1:1">
      <c r="A1185" s="3"/>
    </row>
    <row r="1186" spans="1:1">
      <c r="A1186" s="3"/>
    </row>
    <row r="1187" spans="1:1">
      <c r="A1187" s="3"/>
    </row>
    <row r="1188" spans="1:1">
      <c r="A1188" s="3"/>
    </row>
    <row r="1189" spans="1:1">
      <c r="A1189" s="3"/>
    </row>
    <row r="1190" spans="1:1">
      <c r="A1190" s="3"/>
    </row>
    <row r="1191" spans="1:1">
      <c r="A1191" s="3"/>
    </row>
    <row r="1192" spans="1:1">
      <c r="A1192" s="3"/>
    </row>
    <row r="1193" spans="1:1">
      <c r="A1193" s="3"/>
    </row>
    <row r="1194" spans="1:1">
      <c r="A1194" s="3"/>
    </row>
    <row r="1195" spans="1:1">
      <c r="A1195" s="3"/>
    </row>
    <row r="1196" spans="1:1">
      <c r="A1196" s="3"/>
    </row>
    <row r="1197" spans="1:1">
      <c r="A1197" s="3"/>
    </row>
    <row r="1198" spans="1:1">
      <c r="A1198" s="3"/>
    </row>
    <row r="1199" spans="1:1">
      <c r="A1199" s="3"/>
    </row>
    <row r="1200" spans="1:1">
      <c r="A1200" s="3"/>
    </row>
    <row r="1201" spans="1:1">
      <c r="A1201" s="3"/>
    </row>
    <row r="1202" spans="1:1">
      <c r="A1202" s="3"/>
    </row>
    <row r="1203" spans="1:1">
      <c r="A1203" s="3"/>
    </row>
    <row r="1204" spans="1:1">
      <c r="A1204" s="3"/>
    </row>
    <row r="1205" spans="1:1">
      <c r="A1205" s="3"/>
    </row>
    <row r="1206" spans="1:1">
      <c r="A1206" s="3"/>
    </row>
    <row r="1207" spans="1:1">
      <c r="A1207" s="3"/>
    </row>
    <row r="1208" spans="1:1">
      <c r="A1208" s="3"/>
    </row>
    <row r="1209" spans="1:1">
      <c r="A1209" s="3"/>
    </row>
    <row r="1210" spans="1:1">
      <c r="A1210" s="3"/>
    </row>
    <row r="1211" spans="1:1">
      <c r="A1211" s="3"/>
    </row>
    <row r="1212" spans="1:1">
      <c r="A1212" s="3"/>
    </row>
    <row r="1213" spans="1:1">
      <c r="A1213" s="3"/>
    </row>
    <row r="1214" spans="1:1">
      <c r="A1214" s="3"/>
    </row>
    <row r="1215" spans="1:1">
      <c r="A1215" s="3"/>
    </row>
    <row r="1216" spans="1:1">
      <c r="A1216" s="3"/>
    </row>
    <row r="1217" spans="1:1">
      <c r="A1217" s="3"/>
    </row>
    <row r="1218" spans="1:1">
      <c r="A1218" s="3"/>
    </row>
    <row r="1219" spans="1:1">
      <c r="A1219" s="3"/>
    </row>
    <row r="1220" spans="1:1">
      <c r="A1220" s="3"/>
    </row>
    <row r="1221" spans="1:1">
      <c r="A1221" s="3"/>
    </row>
    <row r="1222" spans="1:1">
      <c r="A1222" s="3"/>
    </row>
    <row r="1223" spans="1:1">
      <c r="A1223" s="3"/>
    </row>
    <row r="1224" spans="1:1">
      <c r="A1224" s="3"/>
    </row>
    <row r="1225" spans="1:1">
      <c r="A1225" s="3"/>
    </row>
    <row r="1226" spans="1:1">
      <c r="A1226" s="3"/>
    </row>
    <row r="1227" spans="1:1">
      <c r="A1227" s="3"/>
    </row>
    <row r="1228" spans="1:1">
      <c r="A1228" s="3"/>
    </row>
    <row r="1229" spans="1:1">
      <c r="A1229" s="3"/>
    </row>
    <row r="1230" spans="1:1">
      <c r="A1230" s="3"/>
    </row>
    <row r="1231" spans="1:1">
      <c r="A1231" s="3"/>
    </row>
    <row r="1232" spans="1:1">
      <c r="A1232" s="3"/>
    </row>
    <row r="1233" spans="1:1">
      <c r="A1233" s="3"/>
    </row>
    <row r="1234" spans="1:1">
      <c r="A1234" s="3"/>
    </row>
    <row r="1235" spans="1:1">
      <c r="A1235" s="3"/>
    </row>
    <row r="1236" spans="1:1">
      <c r="A1236" s="3"/>
    </row>
    <row r="1237" spans="1:1">
      <c r="A1237" s="3"/>
    </row>
    <row r="1238" spans="1:1">
      <c r="A1238" s="3"/>
    </row>
    <row r="1239" spans="1:1">
      <c r="A1239" s="3"/>
    </row>
    <row r="1240" spans="1:1">
      <c r="A1240" s="3"/>
    </row>
    <row r="1241" spans="1:1">
      <c r="A1241" s="3"/>
    </row>
    <row r="1242" spans="1:1">
      <c r="A1242" s="3"/>
    </row>
    <row r="1243" spans="1:1">
      <c r="A1243" s="3"/>
    </row>
    <row r="1244" spans="1:1">
      <c r="A1244" s="3"/>
    </row>
    <row r="1245" spans="1:1">
      <c r="A1245" s="3"/>
    </row>
    <row r="1246" spans="1:1">
      <c r="A1246" s="3"/>
    </row>
    <row r="1247" spans="1:1">
      <c r="A1247" s="3"/>
    </row>
    <row r="1248" spans="1:1">
      <c r="A1248" s="3"/>
    </row>
    <row r="1249" spans="1:1">
      <c r="A1249" s="3"/>
    </row>
    <row r="1250" spans="1:1">
      <c r="A1250" s="3"/>
    </row>
    <row r="1251" spans="1:1">
      <c r="A1251" s="3"/>
    </row>
    <row r="1252" spans="1:1">
      <c r="A1252" s="3"/>
    </row>
    <row r="1253" spans="1:1">
      <c r="A1253" s="3"/>
    </row>
    <row r="1254" spans="1:1">
      <c r="A1254" s="3"/>
    </row>
    <row r="1255" spans="1:1">
      <c r="A1255" s="3"/>
    </row>
    <row r="1256" spans="1:1">
      <c r="A1256" s="3"/>
    </row>
    <row r="1257" spans="1:1">
      <c r="A1257" s="3"/>
    </row>
    <row r="1258" spans="1:1">
      <c r="A1258" s="3"/>
    </row>
    <row r="1259" spans="1:1">
      <c r="A1259" s="3"/>
    </row>
    <row r="1260" spans="1:1">
      <c r="A1260" s="3"/>
    </row>
    <row r="1261" spans="1:1">
      <c r="A1261" s="3"/>
    </row>
    <row r="1262" spans="1:1">
      <c r="A1262" s="3"/>
    </row>
    <row r="1263" spans="1:1">
      <c r="A1263" s="3"/>
    </row>
    <row r="1264" spans="1:1">
      <c r="A1264" s="3"/>
    </row>
    <row r="1265" spans="1:1">
      <c r="A1265" s="3"/>
    </row>
    <row r="1266" spans="1:1">
      <c r="A1266" s="3"/>
    </row>
    <row r="1267" spans="1:1">
      <c r="A1267" s="3"/>
    </row>
    <row r="1268" spans="1:1">
      <c r="A1268" s="3"/>
    </row>
    <row r="1269" spans="1:1">
      <c r="A1269" s="3"/>
    </row>
    <row r="1270" spans="1:1">
      <c r="A1270" s="3"/>
    </row>
    <row r="1271" spans="1:1">
      <c r="A1271" s="3"/>
    </row>
    <row r="1272" spans="1:1">
      <c r="A1272" s="3"/>
    </row>
    <row r="1273" spans="1:1">
      <c r="A1273" s="3"/>
    </row>
    <row r="1274" spans="1:1">
      <c r="A1274" s="3"/>
    </row>
    <row r="1275" spans="1:1">
      <c r="A1275" s="3"/>
    </row>
    <row r="1276" spans="1:1">
      <c r="A1276" s="3"/>
    </row>
    <row r="1277" spans="1:1">
      <c r="A1277" s="3"/>
    </row>
    <row r="1278" spans="1:1">
      <c r="A1278" s="3"/>
    </row>
    <row r="1279" spans="1:1">
      <c r="A1279" s="3"/>
    </row>
    <row r="1280" spans="1:1">
      <c r="A1280" s="3"/>
    </row>
    <row r="1281" spans="1:1">
      <c r="A1281" s="3"/>
    </row>
    <row r="1282" spans="1:1">
      <c r="A1282" s="3"/>
    </row>
    <row r="1283" spans="1:1">
      <c r="A1283" s="3"/>
    </row>
    <row r="1284" spans="1:1">
      <c r="A1284" s="3"/>
    </row>
    <row r="1285" spans="1:1">
      <c r="A1285" s="3"/>
    </row>
    <row r="1286" spans="1:1">
      <c r="A1286" s="3"/>
    </row>
    <row r="1287" spans="1:1">
      <c r="A1287" s="3"/>
    </row>
    <row r="1288" spans="1:1">
      <c r="A1288" s="3"/>
    </row>
    <row r="1289" spans="1:1">
      <c r="A1289" s="3"/>
    </row>
    <row r="1290" spans="1:1">
      <c r="A1290" s="3"/>
    </row>
    <row r="1291" spans="1:1">
      <c r="A1291" s="3"/>
    </row>
    <row r="1292" spans="1:1">
      <c r="A1292" s="3"/>
    </row>
    <row r="1293" spans="1:1">
      <c r="A1293" s="3"/>
    </row>
    <row r="1294" spans="1:1">
      <c r="A1294" s="3"/>
    </row>
    <row r="1295" spans="1:1">
      <c r="A1295" s="3"/>
    </row>
    <row r="1296" spans="1:1">
      <c r="A1296" s="3"/>
    </row>
    <row r="1297" spans="1:1">
      <c r="A1297" s="3"/>
    </row>
    <row r="1298" spans="1:1">
      <c r="A1298" s="3"/>
    </row>
    <row r="1299" spans="1:1">
      <c r="A1299" s="3"/>
    </row>
    <row r="1300" spans="1:1">
      <c r="A1300" s="3"/>
    </row>
    <row r="1301" spans="1:1">
      <c r="A1301" s="3"/>
    </row>
    <row r="1302" spans="1:1">
      <c r="A1302" s="3"/>
    </row>
    <row r="1303" spans="1:1">
      <c r="A1303" s="3"/>
    </row>
    <row r="1304" spans="1:1">
      <c r="A1304" s="3"/>
    </row>
    <row r="1305" spans="1:1">
      <c r="A1305" s="3"/>
    </row>
    <row r="1306" spans="1:1">
      <c r="A1306" s="3"/>
    </row>
    <row r="1307" spans="1:1">
      <c r="A1307" s="3"/>
    </row>
    <row r="1308" spans="1:1">
      <c r="A1308" s="3"/>
    </row>
    <row r="1309" spans="1:1">
      <c r="A1309" s="3"/>
    </row>
    <row r="1310" spans="1:1">
      <c r="A1310" s="3"/>
    </row>
    <row r="1311" spans="1:1">
      <c r="A1311" s="3"/>
    </row>
    <row r="1312" spans="1:1">
      <c r="A1312" s="3"/>
    </row>
    <row r="1313" spans="1:1">
      <c r="A1313" s="3"/>
    </row>
    <row r="1314" spans="1:1">
      <c r="A1314" s="3"/>
    </row>
    <row r="1315" spans="1:1">
      <c r="A1315" s="3"/>
    </row>
    <row r="1316" spans="1:1">
      <c r="A1316" s="3"/>
    </row>
    <row r="1317" spans="1:1">
      <c r="A1317" s="3"/>
    </row>
    <row r="1318" spans="1:1">
      <c r="A1318" s="3"/>
    </row>
    <row r="1319" spans="1:1">
      <c r="A1319" s="3"/>
    </row>
    <row r="1320" spans="1:1">
      <c r="A1320" s="3"/>
    </row>
    <row r="1321" spans="1:1">
      <c r="A1321" s="3"/>
    </row>
    <row r="1322" spans="1:1">
      <c r="A1322" s="3"/>
    </row>
    <row r="1323" spans="1:1">
      <c r="A1323" s="3"/>
    </row>
    <row r="1324" spans="1:1">
      <c r="A1324" s="3"/>
    </row>
    <row r="1325" spans="1:1">
      <c r="A1325" s="3"/>
    </row>
    <row r="1326" spans="1:1">
      <c r="A1326" s="3"/>
    </row>
    <row r="1327" spans="1:1">
      <c r="A1327" s="3"/>
    </row>
    <row r="1328" spans="1:1">
      <c r="A1328" s="3"/>
    </row>
    <row r="1329" spans="1:1">
      <c r="A1329" s="3"/>
    </row>
    <row r="1330" spans="1:1">
      <c r="A1330" s="3"/>
    </row>
    <row r="1331" spans="1:1">
      <c r="A1331" s="3"/>
    </row>
    <row r="1332" spans="1:1">
      <c r="A1332" s="3"/>
    </row>
    <row r="1333" spans="1:1">
      <c r="A1333" s="3"/>
    </row>
    <row r="1334" spans="1:1">
      <c r="A1334" s="3"/>
    </row>
    <row r="1335" spans="1:1">
      <c r="A1335" s="3"/>
    </row>
    <row r="1336" spans="1:1">
      <c r="A1336" s="3"/>
    </row>
    <row r="1337" spans="1:1">
      <c r="A1337" s="3"/>
    </row>
    <row r="1338" spans="1:1">
      <c r="A1338" s="3"/>
    </row>
    <row r="1339" spans="1:1">
      <c r="A1339" s="3"/>
    </row>
    <row r="1340" spans="1:1">
      <c r="A1340" s="3"/>
    </row>
    <row r="1341" spans="1:1">
      <c r="A1341" s="3"/>
    </row>
    <row r="1342" spans="1:1">
      <c r="A1342" s="3"/>
    </row>
    <row r="1343" spans="1:1">
      <c r="A1343" s="3"/>
    </row>
    <row r="1344" spans="1:1">
      <c r="A1344" s="3"/>
    </row>
    <row r="1345" spans="1:1">
      <c r="A1345" s="3"/>
    </row>
    <row r="1346" spans="1:1">
      <c r="A1346" s="3"/>
    </row>
    <row r="1347" spans="1:1">
      <c r="A1347" s="3"/>
    </row>
    <row r="1348" spans="1:1">
      <c r="A1348" s="3"/>
    </row>
    <row r="1349" spans="1:1">
      <c r="A1349" s="3"/>
    </row>
    <row r="1350" spans="1:1">
      <c r="A1350" s="3"/>
    </row>
    <row r="1351" spans="1:1">
      <c r="A1351" s="3"/>
    </row>
    <row r="1352" spans="1:1">
      <c r="A1352" s="3"/>
    </row>
    <row r="1353" spans="1:1">
      <c r="A1353" s="3"/>
    </row>
    <row r="1354" spans="1:1">
      <c r="A1354" s="3"/>
    </row>
    <row r="1355" spans="1:1">
      <c r="A1355" s="3"/>
    </row>
    <row r="1356" spans="1:1">
      <c r="A1356" s="3"/>
    </row>
    <row r="1357" spans="1:1">
      <c r="A1357" s="3"/>
    </row>
    <row r="1358" spans="1:1">
      <c r="A1358" s="3"/>
    </row>
    <row r="1359" spans="1:1">
      <c r="A1359" s="3"/>
    </row>
    <row r="1360" spans="1:1">
      <c r="A1360" s="3"/>
    </row>
    <row r="1361" spans="1:1">
      <c r="A1361" s="3"/>
    </row>
    <row r="1362" spans="1:1">
      <c r="A1362" s="3"/>
    </row>
    <row r="1363" spans="1:1">
      <c r="A1363" s="3"/>
    </row>
    <row r="1364" spans="1:1">
      <c r="A1364" s="3"/>
    </row>
    <row r="1365" spans="1:1">
      <c r="A1365" s="3"/>
    </row>
    <row r="1366" spans="1:1">
      <c r="A1366" s="3"/>
    </row>
    <row r="1367" spans="1:1">
      <c r="A1367" s="3"/>
    </row>
    <row r="1368" spans="1:1">
      <c r="A1368" s="3"/>
    </row>
    <row r="1369" spans="1:1">
      <c r="A1369" s="3"/>
    </row>
    <row r="1370" spans="1:1">
      <c r="A1370" s="3"/>
    </row>
    <row r="1371" spans="1:1">
      <c r="A1371" s="3"/>
    </row>
    <row r="1372" spans="1:1">
      <c r="A1372" s="3"/>
    </row>
    <row r="1373" spans="1:1">
      <c r="A1373" s="3"/>
    </row>
    <row r="1374" spans="1:1">
      <c r="A1374" s="3"/>
    </row>
    <row r="1375" spans="1:1">
      <c r="A1375" s="3"/>
    </row>
    <row r="1376" spans="1:1">
      <c r="A1376" s="3"/>
    </row>
    <row r="1377" spans="1:1">
      <c r="A1377" s="3"/>
    </row>
    <row r="1378" spans="1:1">
      <c r="A1378" s="3"/>
    </row>
    <row r="1379" spans="1:1">
      <c r="A1379" s="3"/>
    </row>
    <row r="1380" spans="1:1">
      <c r="A1380" s="3"/>
    </row>
    <row r="1381" spans="1:1">
      <c r="A1381" s="3"/>
    </row>
    <row r="1382" spans="1:1">
      <c r="A1382" s="3"/>
    </row>
    <row r="1383" spans="1:1">
      <c r="A1383" s="3"/>
    </row>
    <row r="1384" spans="1:1">
      <c r="A1384" s="3"/>
    </row>
    <row r="1385" spans="1:1">
      <c r="A1385" s="3"/>
    </row>
    <row r="1386" spans="1:1">
      <c r="A1386" s="3"/>
    </row>
    <row r="1387" spans="1:1">
      <c r="A1387" s="3"/>
    </row>
    <row r="1388" spans="1:1">
      <c r="A1388" s="3"/>
    </row>
    <row r="1389" spans="1:1">
      <c r="A1389" s="3"/>
    </row>
    <row r="1390" spans="1:1">
      <c r="A1390" s="3"/>
    </row>
    <row r="1391" spans="1:1">
      <c r="A1391" s="3"/>
    </row>
    <row r="1392" spans="1:1">
      <c r="A1392" s="3"/>
    </row>
    <row r="1393" spans="1:1">
      <c r="A1393" s="3"/>
    </row>
    <row r="1394" spans="1:1">
      <c r="A1394" s="3"/>
    </row>
    <row r="1395" spans="1:1">
      <c r="A1395" s="3"/>
    </row>
    <row r="1396" spans="1:1">
      <c r="A1396" s="3"/>
    </row>
    <row r="1397" spans="1:1">
      <c r="A1397" s="3"/>
    </row>
    <row r="1398" spans="1:1">
      <c r="A1398" s="3"/>
    </row>
    <row r="1399" spans="1:1">
      <c r="A1399" s="3"/>
    </row>
    <row r="1400" spans="1:1">
      <c r="A1400" s="3"/>
    </row>
    <row r="1401" spans="1:1">
      <c r="A1401" s="3"/>
    </row>
    <row r="1402" spans="1:1">
      <c r="A1402" s="3"/>
    </row>
    <row r="1403" spans="1:1">
      <c r="A1403" s="3"/>
    </row>
    <row r="1404" spans="1:1">
      <c r="A1404" s="3"/>
    </row>
    <row r="1405" spans="1:1">
      <c r="A1405" s="3"/>
    </row>
    <row r="1406" spans="1:1">
      <c r="A1406" s="3"/>
    </row>
    <row r="1407" spans="1:1">
      <c r="A1407" s="3"/>
    </row>
    <row r="1408" spans="1:1">
      <c r="A1408" s="3"/>
    </row>
    <row r="1409" spans="1:1">
      <c r="A1409" s="3"/>
    </row>
    <row r="1410" spans="1:1">
      <c r="A1410" s="3"/>
    </row>
    <row r="1411" spans="1:1">
      <c r="A1411" s="3"/>
    </row>
    <row r="1412" spans="1:1">
      <c r="A1412" s="3"/>
    </row>
    <row r="1413" spans="1:1">
      <c r="A1413" s="3"/>
    </row>
    <row r="1414" spans="1:1">
      <c r="A1414" s="3"/>
    </row>
    <row r="1415" spans="1:1">
      <c r="A1415" s="3"/>
    </row>
    <row r="1416" spans="1:1">
      <c r="A1416" s="3"/>
    </row>
    <row r="1417" spans="1:1">
      <c r="A1417" s="3"/>
    </row>
    <row r="1418" spans="1:1">
      <c r="A1418" s="3"/>
    </row>
  </sheetData>
  <mergeCells count="3">
    <mergeCell ref="A1:K1"/>
    <mergeCell ref="L1:V1"/>
    <mergeCell ref="W1:AE1"/>
  </mergeCells>
  <phoneticPr fontId="4" type="noConversion"/>
  <conditionalFormatting sqref="J4:J197">
    <cfRule type="cellIs" dxfId="56" priority="18" stopIfTrue="1" operator="lessThanOrEqual">
      <formula>0</formula>
    </cfRule>
  </conditionalFormatting>
  <conditionalFormatting sqref="U35:U197">
    <cfRule type="cellIs" dxfId="55" priority="25" stopIfTrue="1" operator="lessThanOrEqual">
      <formula>0</formula>
    </cfRule>
  </conditionalFormatting>
  <conditionalFormatting sqref="R4:S197">
    <cfRule type="cellIs" dxfId="54" priority="24" stopIfTrue="1" operator="lessThanOrEqual">
      <formula>1</formula>
    </cfRule>
  </conditionalFormatting>
  <conditionalFormatting sqref="AB4:AB34">
    <cfRule type="cellIs" dxfId="53" priority="22" stopIfTrue="1" operator="lessThanOrEqual">
      <formula>1</formula>
    </cfRule>
  </conditionalFormatting>
  <conditionalFormatting sqref="AD4:AD34">
    <cfRule type="cellIs" dxfId="52" priority="23" stopIfTrue="1" operator="lessThanOrEqual">
      <formula>1</formula>
    </cfRule>
  </conditionalFormatting>
  <conditionalFormatting sqref="K4:K197">
    <cfRule type="cellIs" dxfId="51" priority="21" stopIfTrue="1" operator="lessThanOrEqual">
      <formula>0</formula>
    </cfRule>
  </conditionalFormatting>
  <conditionalFormatting sqref="V4:V197">
    <cfRule type="cellIs" dxfId="50" priority="20" stopIfTrue="1" operator="lessThanOrEqual">
      <formula>0</formula>
    </cfRule>
  </conditionalFormatting>
  <conditionalFormatting sqref="AE4:AE34">
    <cfRule type="cellIs" dxfId="49" priority="19" stopIfTrue="1" operator="lessThanOrEqual">
      <formula>0</formula>
    </cfRule>
  </conditionalFormatting>
  <conditionalFormatting sqref="J3">
    <cfRule type="cellIs" dxfId="48" priority="6" stopIfTrue="1" operator="lessThanOrEqual">
      <formula>0</formula>
    </cfRule>
  </conditionalFormatting>
  <conditionalFormatting sqref="R3:S3">
    <cfRule type="cellIs" dxfId="47" priority="12" stopIfTrue="1" operator="lessThanOrEqual">
      <formula>1</formula>
    </cfRule>
  </conditionalFormatting>
  <conditionalFormatting sqref="AB3">
    <cfRule type="cellIs" dxfId="46" priority="10" stopIfTrue="1" operator="lessThanOrEqual">
      <formula>1</formula>
    </cfRule>
  </conditionalFormatting>
  <conditionalFormatting sqref="AD3">
    <cfRule type="cellIs" dxfId="45" priority="11" stopIfTrue="1" operator="lessThanOrEqual">
      <formula>1</formula>
    </cfRule>
  </conditionalFormatting>
  <conditionalFormatting sqref="K3">
    <cfRule type="cellIs" dxfId="44" priority="9" stopIfTrue="1" operator="lessThanOrEqual">
      <formula>0</formula>
    </cfRule>
  </conditionalFormatting>
  <conditionalFormatting sqref="V3">
    <cfRule type="cellIs" dxfId="43" priority="8" stopIfTrue="1" operator="lessThanOrEqual">
      <formula>0</formula>
    </cfRule>
  </conditionalFormatting>
  <conditionalFormatting sqref="AE3">
    <cfRule type="cellIs" dxfId="42" priority="7" stopIfTrue="1" operator="lessThanOrEqual">
      <formula>0</formula>
    </cfRule>
  </conditionalFormatting>
  <conditionalFormatting sqref="U3">
    <cfRule type="cellIs" dxfId="41" priority="3" stopIfTrue="1" operator="lessThanOrEqual">
      <formula>0</formula>
    </cfRule>
  </conditionalFormatting>
  <conditionalFormatting sqref="U4:U34">
    <cfRule type="cellIs" dxfId="40" priority="1" stopIfTrue="1" operator="lessThanOrEqual">
      <formula>0</formula>
    </cfRule>
  </conditionalFormatting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F1E2F-5052-4A2B-AA85-AED873CB20D1}">
  <sheetPr>
    <tabColor theme="5"/>
  </sheetPr>
  <dimension ref="A1:L174"/>
  <sheetViews>
    <sheetView showGridLines="0" workbookViewId="0">
      <selection activeCell="E18" sqref="E18"/>
    </sheetView>
  </sheetViews>
  <sheetFormatPr baseColWidth="10" defaultRowHeight="15"/>
  <cols>
    <col min="1" max="1" width="10.42578125" customWidth="1"/>
    <col min="2" max="3" width="9.85546875" customWidth="1"/>
    <col min="4" max="4" width="14.7109375" customWidth="1"/>
    <col min="5" max="5" width="10" customWidth="1"/>
    <col min="6" max="6" width="12" bestFit="1" customWidth="1"/>
    <col min="7" max="7" width="9.85546875" customWidth="1"/>
    <col min="8" max="8" width="12.7109375" customWidth="1"/>
    <col min="9" max="9" width="17.42578125" customWidth="1"/>
    <col min="10" max="10" width="6.85546875" customWidth="1"/>
  </cols>
  <sheetData>
    <row r="1" spans="1:12" ht="15.75" thickBot="1">
      <c r="A1" s="119" t="s">
        <v>47</v>
      </c>
      <c r="B1" s="120"/>
      <c r="C1" s="120"/>
      <c r="D1" s="120"/>
      <c r="E1" s="120"/>
      <c r="F1" s="120"/>
      <c r="G1" s="120"/>
      <c r="H1" s="120"/>
      <c r="I1" s="120"/>
      <c r="J1" s="121"/>
    </row>
    <row r="2" spans="1:12" ht="22.5">
      <c r="A2" s="50" t="s">
        <v>13</v>
      </c>
      <c r="B2" s="50" t="s">
        <v>4</v>
      </c>
      <c r="C2" s="50" t="s">
        <v>5</v>
      </c>
      <c r="D2" s="50" t="s">
        <v>6</v>
      </c>
      <c r="E2" s="50" t="s">
        <v>7</v>
      </c>
      <c r="F2" s="50" t="s">
        <v>8</v>
      </c>
      <c r="G2" s="50" t="s">
        <v>9</v>
      </c>
      <c r="H2" s="50" t="s">
        <v>48</v>
      </c>
      <c r="I2" s="50" t="s">
        <v>10</v>
      </c>
      <c r="J2" s="50" t="s">
        <v>11</v>
      </c>
    </row>
    <row r="3" spans="1:12">
      <c r="A3" s="15">
        <v>46113</v>
      </c>
      <c r="B3" s="9">
        <v>1555</v>
      </c>
      <c r="C3" s="9">
        <v>0</v>
      </c>
      <c r="D3" s="10"/>
      <c r="E3" s="9">
        <v>237.63399999999999</v>
      </c>
      <c r="F3" s="9">
        <f>+E3</f>
        <v>237.63399999999999</v>
      </c>
      <c r="G3" s="9">
        <f>+B3+C3-E3</f>
        <v>1317.366</v>
      </c>
      <c r="H3" s="9">
        <v>1317.366</v>
      </c>
      <c r="I3" s="9">
        <f>+G3-H3</f>
        <v>0</v>
      </c>
      <c r="J3" s="6">
        <f t="shared" ref="J3:J15" si="0">+I3/F3*100</f>
        <v>0</v>
      </c>
      <c r="L3" s="51"/>
    </row>
    <row r="4" spans="1:12">
      <c r="A4" s="15">
        <v>46114</v>
      </c>
      <c r="B4" s="9">
        <f t="shared" ref="B4:B16" si="1">+G3</f>
        <v>1317.366</v>
      </c>
      <c r="C4" s="46">
        <v>0</v>
      </c>
      <c r="D4" s="56"/>
      <c r="E4" s="9">
        <v>94.39</v>
      </c>
      <c r="F4" s="9">
        <f t="shared" ref="F4:F16" si="2">+F3+E4</f>
        <v>332.024</v>
      </c>
      <c r="G4" s="9">
        <f t="shared" ref="G4:G16" si="3">+G3+C4-E4</f>
        <v>1222.9759999999999</v>
      </c>
      <c r="H4" s="9">
        <v>1230</v>
      </c>
      <c r="I4" s="9">
        <f t="shared" ref="I4:I15" si="4">+H4-G4</f>
        <v>7.0240000000001146</v>
      </c>
      <c r="J4" s="6">
        <f t="shared" si="0"/>
        <v>2.1155097221887917</v>
      </c>
    </row>
    <row r="5" spans="1:12">
      <c r="A5" s="15">
        <v>46115</v>
      </c>
      <c r="B5" s="9">
        <f t="shared" si="1"/>
        <v>1222.9759999999999</v>
      </c>
      <c r="C5" s="9">
        <v>0</v>
      </c>
      <c r="D5" s="10"/>
      <c r="E5" s="9">
        <v>52.817</v>
      </c>
      <c r="F5" s="9">
        <f t="shared" si="2"/>
        <v>384.84100000000001</v>
      </c>
      <c r="G5" s="9">
        <f t="shared" si="3"/>
        <v>1170.1589999999999</v>
      </c>
      <c r="H5" s="9">
        <v>0</v>
      </c>
      <c r="I5" s="9">
        <f t="shared" si="4"/>
        <v>-1170.1589999999999</v>
      </c>
      <c r="J5" s="6">
        <f t="shared" si="0"/>
        <v>-304.06297665789242</v>
      </c>
    </row>
    <row r="6" spans="1:12">
      <c r="A6" s="15">
        <v>46116</v>
      </c>
      <c r="B6" s="9">
        <f t="shared" si="1"/>
        <v>1170.1589999999999</v>
      </c>
      <c r="C6" s="9">
        <v>0</v>
      </c>
      <c r="D6" s="10"/>
      <c r="E6" s="9">
        <v>42.167000000000002</v>
      </c>
      <c r="F6" s="9">
        <f t="shared" si="2"/>
        <v>427.00800000000004</v>
      </c>
      <c r="G6" s="9">
        <f t="shared" si="3"/>
        <v>1127.992</v>
      </c>
      <c r="H6" s="9">
        <v>0</v>
      </c>
      <c r="I6" s="9">
        <f t="shared" si="4"/>
        <v>-1127.992</v>
      </c>
      <c r="J6" s="6">
        <f t="shared" si="0"/>
        <v>-264.16179556354911</v>
      </c>
    </row>
    <row r="7" spans="1:12">
      <c r="A7" s="15">
        <v>46117</v>
      </c>
      <c r="B7" s="9">
        <f t="shared" si="1"/>
        <v>1127.992</v>
      </c>
      <c r="C7" s="9">
        <v>0</v>
      </c>
      <c r="D7" s="10"/>
      <c r="E7" s="9">
        <v>42.85</v>
      </c>
      <c r="F7" s="9">
        <f t="shared" si="2"/>
        <v>469.85800000000006</v>
      </c>
      <c r="G7" s="9">
        <f t="shared" si="3"/>
        <v>1085.1420000000001</v>
      </c>
      <c r="H7" s="9">
        <v>1100</v>
      </c>
      <c r="I7" s="9">
        <f t="shared" si="4"/>
        <v>14.857999999999947</v>
      </c>
      <c r="J7" s="6">
        <f t="shared" si="0"/>
        <v>3.1622319934958956</v>
      </c>
    </row>
    <row r="8" spans="1:12">
      <c r="A8" s="15">
        <v>46118</v>
      </c>
      <c r="B8" s="9">
        <f t="shared" si="1"/>
        <v>1085.1420000000001</v>
      </c>
      <c r="C8" s="46">
        <v>0</v>
      </c>
      <c r="D8" s="10"/>
      <c r="E8" s="9">
        <v>285.84800000000001</v>
      </c>
      <c r="F8" s="9">
        <f t="shared" si="2"/>
        <v>755.70600000000013</v>
      </c>
      <c r="G8" s="9">
        <f t="shared" si="3"/>
        <v>799.2940000000001</v>
      </c>
      <c r="H8" s="9">
        <v>1775</v>
      </c>
      <c r="I8" s="9">
        <f t="shared" si="4"/>
        <v>975.7059999999999</v>
      </c>
      <c r="J8" s="6">
        <f t="shared" si="0"/>
        <v>129.11185037567517</v>
      </c>
    </row>
    <row r="9" spans="1:12">
      <c r="A9" s="15">
        <v>46119</v>
      </c>
      <c r="B9" s="9">
        <f t="shared" si="1"/>
        <v>799.2940000000001</v>
      </c>
      <c r="C9" s="9">
        <v>0</v>
      </c>
      <c r="D9" s="10"/>
      <c r="E9" s="9">
        <v>238.31700000000001</v>
      </c>
      <c r="F9" s="9">
        <f t="shared" si="2"/>
        <v>994.02300000000014</v>
      </c>
      <c r="G9" s="9">
        <f t="shared" si="3"/>
        <v>560.97700000000009</v>
      </c>
      <c r="H9" s="9">
        <v>1598</v>
      </c>
      <c r="I9" s="9">
        <f t="shared" si="4"/>
        <v>1037.0229999999999</v>
      </c>
      <c r="J9" s="6">
        <f t="shared" si="0"/>
        <v>104.32585563915522</v>
      </c>
    </row>
    <row r="10" spans="1:12">
      <c r="A10" s="15">
        <v>46120</v>
      </c>
      <c r="B10" s="9">
        <f t="shared" si="1"/>
        <v>560.97700000000009</v>
      </c>
      <c r="C10" s="9">
        <v>1500</v>
      </c>
      <c r="D10" s="10" t="s">
        <v>82</v>
      </c>
      <c r="E10" s="9">
        <v>299.05</v>
      </c>
      <c r="F10" s="9">
        <f t="shared" si="2"/>
        <v>1293.0730000000001</v>
      </c>
      <c r="G10" s="9">
        <f t="shared" si="3"/>
        <v>1761.9269999999999</v>
      </c>
      <c r="H10" s="9">
        <v>1310</v>
      </c>
      <c r="I10" s="9">
        <f t="shared" si="4"/>
        <v>-451.92699999999991</v>
      </c>
      <c r="J10" s="6">
        <f t="shared" si="0"/>
        <v>-34.949844285666771</v>
      </c>
    </row>
    <row r="11" spans="1:12">
      <c r="A11" s="15">
        <v>46121</v>
      </c>
      <c r="B11" s="9">
        <f t="shared" si="1"/>
        <v>1761.9269999999999</v>
      </c>
      <c r="C11" s="46">
        <v>0</v>
      </c>
      <c r="D11" s="10"/>
      <c r="E11" s="9">
        <v>379.572</v>
      </c>
      <c r="F11" s="9">
        <f t="shared" si="2"/>
        <v>1672.645</v>
      </c>
      <c r="G11" s="9">
        <f t="shared" si="3"/>
        <v>1382.355</v>
      </c>
      <c r="H11" s="9"/>
      <c r="I11" s="9">
        <f t="shared" si="4"/>
        <v>-1382.355</v>
      </c>
      <c r="J11" s="6">
        <f t="shared" si="0"/>
        <v>-82.644852912602502</v>
      </c>
    </row>
    <row r="12" spans="1:12">
      <c r="A12" s="15">
        <v>46122</v>
      </c>
      <c r="B12" s="9">
        <f t="shared" si="1"/>
        <v>1382.355</v>
      </c>
      <c r="C12" s="9">
        <v>0</v>
      </c>
      <c r="D12" s="10"/>
      <c r="E12" s="9">
        <v>160.25899999999999</v>
      </c>
      <c r="F12" s="9">
        <f t="shared" si="2"/>
        <v>1832.904</v>
      </c>
      <c r="G12" s="9">
        <f t="shared" si="3"/>
        <v>1222.096</v>
      </c>
      <c r="H12" s="9"/>
      <c r="I12" s="9">
        <f t="shared" si="4"/>
        <v>-1222.096</v>
      </c>
      <c r="J12" s="6">
        <f t="shared" si="0"/>
        <v>-66.675395983641266</v>
      </c>
    </row>
    <row r="13" spans="1:12">
      <c r="A13" s="15">
        <v>46123</v>
      </c>
      <c r="B13" s="9">
        <f t="shared" si="1"/>
        <v>1222.096</v>
      </c>
      <c r="C13" s="9">
        <v>0</v>
      </c>
      <c r="D13" s="10"/>
      <c r="E13" s="9">
        <v>223.285</v>
      </c>
      <c r="F13" s="9">
        <f t="shared" si="2"/>
        <v>2056.1889999999999</v>
      </c>
      <c r="G13" s="9">
        <f t="shared" si="3"/>
        <v>998.81100000000004</v>
      </c>
      <c r="H13" s="9"/>
      <c r="I13" s="9">
        <f t="shared" si="4"/>
        <v>-998.81100000000004</v>
      </c>
      <c r="J13" s="6">
        <f t="shared" si="0"/>
        <v>-48.57583617070221</v>
      </c>
    </row>
    <row r="14" spans="1:12">
      <c r="A14" s="15">
        <v>46124</v>
      </c>
      <c r="B14" s="9">
        <f t="shared" si="1"/>
        <v>998.81100000000004</v>
      </c>
      <c r="C14" s="46">
        <v>0</v>
      </c>
      <c r="D14" s="10"/>
      <c r="E14" s="9">
        <v>44.738</v>
      </c>
      <c r="F14" s="9">
        <f t="shared" si="2"/>
        <v>2100.9269999999997</v>
      </c>
      <c r="G14" s="9">
        <f t="shared" si="3"/>
        <v>954.07300000000009</v>
      </c>
      <c r="H14" s="9"/>
      <c r="I14" s="9">
        <f t="shared" si="4"/>
        <v>-954.07300000000009</v>
      </c>
      <c r="J14" s="6">
        <f t="shared" si="0"/>
        <v>-45.412001464115612</v>
      </c>
    </row>
    <row r="15" spans="1:12">
      <c r="A15" s="15">
        <v>46125</v>
      </c>
      <c r="B15" s="9">
        <f t="shared" si="1"/>
        <v>954.07300000000009</v>
      </c>
      <c r="C15" s="9">
        <v>0</v>
      </c>
      <c r="D15" s="10"/>
      <c r="E15" s="9">
        <v>214.107</v>
      </c>
      <c r="F15" s="9">
        <f t="shared" si="2"/>
        <v>2315.0339999999997</v>
      </c>
      <c r="G15" s="9">
        <f t="shared" si="3"/>
        <v>739.96600000000012</v>
      </c>
      <c r="H15" s="9">
        <v>500</v>
      </c>
      <c r="I15" s="9">
        <f t="shared" si="4"/>
        <v>-239.96600000000012</v>
      </c>
      <c r="J15" s="6">
        <f t="shared" si="0"/>
        <v>-10.365549706829366</v>
      </c>
    </row>
    <row r="16" spans="1:12">
      <c r="A16" s="15">
        <v>46126</v>
      </c>
      <c r="B16" s="9">
        <f t="shared" si="1"/>
        <v>739.96600000000012</v>
      </c>
      <c r="C16" s="9">
        <v>1000</v>
      </c>
      <c r="D16" s="10"/>
      <c r="E16" s="9">
        <v>404.37200000000001</v>
      </c>
      <c r="F16" s="9">
        <f t="shared" si="2"/>
        <v>2719.4059999999995</v>
      </c>
      <c r="G16" s="9">
        <f t="shared" si="3"/>
        <v>1335.5940000000001</v>
      </c>
      <c r="H16" s="9"/>
      <c r="I16" s="9"/>
      <c r="J16" s="7"/>
    </row>
    <row r="17" spans="1:10">
      <c r="A17" s="15"/>
      <c r="B17" s="9"/>
      <c r="C17" s="9"/>
      <c r="D17" s="10"/>
      <c r="E17" s="9">
        <v>196.31800000000001</v>
      </c>
      <c r="F17" s="9"/>
      <c r="G17" s="9"/>
      <c r="H17" s="9"/>
      <c r="I17" s="9"/>
      <c r="J17" s="7"/>
    </row>
    <row r="18" spans="1:10">
      <c r="A18" s="15"/>
      <c r="B18" s="9"/>
      <c r="C18" s="46"/>
      <c r="D18" s="10"/>
      <c r="E18" s="9"/>
      <c r="F18" s="9"/>
      <c r="G18" s="9"/>
      <c r="H18" s="9"/>
      <c r="I18" s="9"/>
      <c r="J18" s="7"/>
    </row>
    <row r="19" spans="1:10">
      <c r="A19" s="15"/>
      <c r="B19" s="9"/>
      <c r="C19" s="9"/>
      <c r="D19" s="10"/>
      <c r="E19" s="9"/>
      <c r="F19" s="9"/>
      <c r="G19" s="9"/>
      <c r="H19" s="9"/>
      <c r="I19" s="9"/>
      <c r="J19" s="7"/>
    </row>
    <row r="20" spans="1:10">
      <c r="A20" s="15"/>
      <c r="B20" s="9"/>
      <c r="C20" s="9"/>
      <c r="D20" s="10"/>
      <c r="E20" s="9"/>
      <c r="F20" s="9"/>
      <c r="G20" s="9"/>
      <c r="H20" s="9"/>
      <c r="I20" s="9"/>
      <c r="J20" s="7"/>
    </row>
    <row r="21" spans="1:10">
      <c r="A21" s="15"/>
      <c r="B21" s="9"/>
      <c r="C21" s="9"/>
      <c r="D21" s="10"/>
      <c r="E21" s="9"/>
      <c r="F21" s="9"/>
      <c r="G21" s="9"/>
      <c r="H21" s="9"/>
      <c r="I21" s="9"/>
      <c r="J21" s="7"/>
    </row>
    <row r="22" spans="1:10">
      <c r="A22" s="15"/>
      <c r="B22" s="9"/>
      <c r="C22" s="9"/>
      <c r="D22" s="10"/>
      <c r="E22" s="9"/>
      <c r="F22" s="9"/>
      <c r="G22" s="9"/>
      <c r="H22" s="9"/>
      <c r="I22" s="9"/>
      <c r="J22" s="7"/>
    </row>
    <row r="23" spans="1:10">
      <c r="A23" s="15"/>
      <c r="B23" s="9"/>
      <c r="C23" s="46"/>
      <c r="D23" s="10"/>
      <c r="E23" s="9"/>
      <c r="F23" s="9"/>
      <c r="G23" s="9"/>
      <c r="H23" s="9"/>
      <c r="I23" s="9"/>
      <c r="J23" s="7"/>
    </row>
    <row r="24" spans="1:10">
      <c r="A24" s="15"/>
      <c r="B24" s="9"/>
      <c r="C24" s="9"/>
      <c r="D24" s="10"/>
      <c r="E24" s="9"/>
      <c r="F24" s="9"/>
      <c r="G24" s="9"/>
      <c r="H24" s="9"/>
      <c r="I24" s="9"/>
      <c r="J24" s="7"/>
    </row>
    <row r="25" spans="1:10">
      <c r="A25" s="15"/>
      <c r="B25" s="9"/>
      <c r="C25" s="9"/>
      <c r="D25" s="10"/>
      <c r="E25" s="9"/>
      <c r="F25" s="9"/>
      <c r="G25" s="9"/>
      <c r="H25" s="9"/>
      <c r="I25" s="9"/>
      <c r="J25" s="7"/>
    </row>
    <row r="26" spans="1:10">
      <c r="A26" s="15"/>
      <c r="B26" s="9"/>
      <c r="C26" s="9"/>
      <c r="D26" s="10"/>
      <c r="E26" s="9"/>
      <c r="F26" s="9"/>
      <c r="G26" s="9"/>
      <c r="H26" s="9"/>
      <c r="I26" s="9"/>
      <c r="J26" s="7"/>
    </row>
    <row r="27" spans="1:10">
      <c r="A27" s="15"/>
      <c r="B27" s="9"/>
      <c r="C27" s="9"/>
      <c r="D27" s="10"/>
      <c r="E27" s="9"/>
      <c r="F27" s="9"/>
      <c r="G27" s="9"/>
      <c r="H27" s="9"/>
      <c r="I27" s="9"/>
      <c r="J27" s="7"/>
    </row>
    <row r="28" spans="1:10">
      <c r="A28" s="15"/>
      <c r="B28" s="9"/>
      <c r="C28" s="9"/>
      <c r="D28" s="10"/>
      <c r="E28" s="9"/>
      <c r="F28" s="9"/>
      <c r="G28" s="9"/>
      <c r="H28" s="9"/>
      <c r="I28" s="9"/>
      <c r="J28" s="7"/>
    </row>
    <row r="29" spans="1:10">
      <c r="A29" s="16"/>
      <c r="B29" s="9"/>
      <c r="C29" s="9"/>
      <c r="D29" s="10"/>
      <c r="E29" s="9"/>
      <c r="F29" s="9"/>
      <c r="G29" s="9"/>
      <c r="H29" s="9"/>
      <c r="I29" s="9"/>
      <c r="J29" s="7"/>
    </row>
    <row r="30" spans="1:10">
      <c r="A30" s="16"/>
      <c r="B30" s="9"/>
      <c r="C30" s="9"/>
      <c r="D30" s="10"/>
      <c r="E30" s="9"/>
      <c r="F30" s="9"/>
      <c r="G30" s="9"/>
      <c r="H30" s="9"/>
      <c r="I30" s="9"/>
      <c r="J30" s="7"/>
    </row>
    <row r="31" spans="1:10">
      <c r="A31" s="16"/>
      <c r="B31" s="9"/>
      <c r="C31" s="9"/>
      <c r="D31" s="10"/>
      <c r="E31" s="9"/>
      <c r="F31" s="9"/>
      <c r="G31" s="9"/>
      <c r="H31" s="9"/>
      <c r="I31" s="9"/>
      <c r="J31" s="7"/>
    </row>
    <row r="32" spans="1:10">
      <c r="A32" s="16"/>
      <c r="B32" s="9"/>
      <c r="C32" s="46"/>
      <c r="D32" s="10"/>
      <c r="E32" s="9"/>
      <c r="F32" s="9"/>
      <c r="G32" s="9"/>
      <c r="H32" s="9"/>
      <c r="I32" s="9"/>
      <c r="J32" s="7"/>
    </row>
    <row r="33" spans="1:10">
      <c r="A33" s="16"/>
      <c r="B33" s="9"/>
      <c r="C33" s="9"/>
      <c r="D33" s="10"/>
      <c r="E33" s="9"/>
      <c r="F33" s="9"/>
      <c r="G33" s="9"/>
      <c r="H33" s="9"/>
      <c r="I33" s="9"/>
      <c r="J33" s="7"/>
    </row>
    <row r="34" spans="1:10">
      <c r="A34" s="16"/>
      <c r="B34" s="9"/>
      <c r="C34" s="31"/>
      <c r="D34" s="31"/>
      <c r="E34" s="31"/>
      <c r="F34" s="9"/>
      <c r="G34" s="9"/>
      <c r="H34" s="9"/>
      <c r="I34" s="9"/>
      <c r="J34" s="7"/>
    </row>
    <row r="35" spans="1:10">
      <c r="A35" s="35"/>
      <c r="B35" s="9"/>
      <c r="C35" s="47"/>
      <c r="D35" s="32"/>
      <c r="E35" s="32"/>
      <c r="F35" s="9"/>
      <c r="G35" s="9"/>
      <c r="H35" s="9"/>
      <c r="I35" s="9"/>
      <c r="J35" s="7"/>
    </row>
    <row r="36" spans="1:10">
      <c r="A36" s="35"/>
      <c r="B36" s="9"/>
      <c r="C36" s="32"/>
      <c r="D36" s="32"/>
      <c r="E36" s="32"/>
      <c r="F36" s="9"/>
      <c r="G36" s="9"/>
      <c r="H36" s="9"/>
      <c r="I36" s="9"/>
      <c r="J36" s="7"/>
    </row>
    <row r="37" spans="1:10">
      <c r="A37" s="35"/>
      <c r="B37" s="9"/>
      <c r="C37" s="47"/>
      <c r="D37" s="32"/>
      <c r="E37" s="32"/>
      <c r="F37" s="9"/>
      <c r="G37" s="9"/>
      <c r="H37" s="9"/>
      <c r="I37" s="9"/>
      <c r="J37" s="7"/>
    </row>
    <row r="38" spans="1:10">
      <c r="A38" s="35"/>
      <c r="B38" s="9"/>
      <c r="C38" s="47"/>
      <c r="D38" s="32"/>
      <c r="E38" s="32"/>
      <c r="F38" s="9"/>
      <c r="G38" s="9"/>
      <c r="H38" s="9"/>
      <c r="I38" s="9"/>
      <c r="J38" s="7"/>
    </row>
    <row r="39" spans="1:10">
      <c r="A39" s="35"/>
      <c r="B39" s="9"/>
      <c r="C39" s="32"/>
      <c r="D39" s="32"/>
      <c r="E39" s="32"/>
      <c r="F39" s="9"/>
      <c r="G39" s="9"/>
      <c r="H39" s="9"/>
      <c r="I39" s="9"/>
      <c r="J39" s="7"/>
    </row>
    <row r="40" spans="1:10">
      <c r="A40" s="35"/>
      <c r="B40" s="9"/>
      <c r="C40" s="47"/>
      <c r="D40" s="32"/>
      <c r="E40" s="32"/>
      <c r="F40" s="9"/>
      <c r="G40" s="9"/>
      <c r="H40" s="9"/>
      <c r="I40" s="9"/>
      <c r="J40" s="7"/>
    </row>
    <row r="41" spans="1:10">
      <c r="A41" s="35"/>
      <c r="B41" s="9"/>
      <c r="C41" s="32"/>
      <c r="D41" s="32"/>
      <c r="E41" s="32"/>
      <c r="F41" s="9"/>
      <c r="G41" s="9"/>
      <c r="H41" s="9"/>
      <c r="I41" s="9"/>
      <c r="J41" s="7"/>
    </row>
    <row r="42" spans="1:10">
      <c r="A42" s="35"/>
      <c r="B42" s="9"/>
      <c r="C42" s="32"/>
      <c r="D42" s="32"/>
      <c r="E42" s="32"/>
      <c r="F42" s="9"/>
      <c r="G42" s="9"/>
      <c r="H42" s="9"/>
      <c r="I42" s="9"/>
      <c r="J42" s="7"/>
    </row>
    <row r="43" spans="1:10">
      <c r="A43" s="35"/>
      <c r="B43" s="9"/>
      <c r="C43" s="32"/>
      <c r="D43" s="32"/>
      <c r="E43" s="32"/>
      <c r="F43" s="9"/>
      <c r="G43" s="9"/>
      <c r="H43" s="9"/>
      <c r="I43" s="9"/>
      <c r="J43" s="7"/>
    </row>
    <row r="44" spans="1:10">
      <c r="A44" s="35"/>
      <c r="B44" s="9"/>
      <c r="C44" s="32"/>
      <c r="D44" s="32"/>
      <c r="E44" s="32"/>
      <c r="F44" s="9"/>
      <c r="G44" s="9"/>
      <c r="H44" s="9"/>
      <c r="I44" s="9"/>
      <c r="J44" s="7"/>
    </row>
    <row r="45" spans="1:10">
      <c r="A45" s="35"/>
      <c r="B45" s="9"/>
      <c r="C45" s="47"/>
      <c r="D45" s="32"/>
      <c r="E45" s="32"/>
      <c r="F45" s="9"/>
      <c r="G45" s="9"/>
      <c r="H45" s="9"/>
      <c r="I45" s="9"/>
      <c r="J45" s="7"/>
    </row>
    <row r="46" spans="1:10">
      <c r="A46" s="35"/>
      <c r="B46" s="9"/>
      <c r="C46" s="32"/>
      <c r="D46" s="32"/>
      <c r="E46" s="32"/>
      <c r="F46" s="9"/>
      <c r="G46" s="9"/>
      <c r="H46" s="9"/>
      <c r="I46" s="9"/>
      <c r="J46" s="7"/>
    </row>
    <row r="47" spans="1:10">
      <c r="A47" s="35"/>
      <c r="B47" s="9"/>
      <c r="C47" s="32"/>
      <c r="D47" s="32"/>
      <c r="E47" s="32"/>
      <c r="F47" s="9"/>
      <c r="G47" s="9"/>
      <c r="H47" s="9"/>
      <c r="I47" s="9"/>
      <c r="J47" s="7"/>
    </row>
    <row r="48" spans="1:10">
      <c r="A48" s="35"/>
      <c r="B48" s="9"/>
      <c r="C48" s="32"/>
      <c r="D48" s="32"/>
      <c r="E48" s="32"/>
      <c r="F48" s="9"/>
      <c r="G48" s="9"/>
      <c r="H48" s="9"/>
      <c r="I48" s="9"/>
      <c r="J48" s="7"/>
    </row>
    <row r="49" spans="1:10">
      <c r="A49" s="35"/>
      <c r="B49" s="9"/>
      <c r="C49" s="32"/>
      <c r="D49" s="32"/>
      <c r="E49" s="32"/>
      <c r="F49" s="9"/>
      <c r="G49" s="9"/>
      <c r="H49" s="9"/>
      <c r="I49" s="9"/>
      <c r="J49" s="7"/>
    </row>
    <row r="50" spans="1:10">
      <c r="A50" s="35"/>
      <c r="B50" s="9"/>
      <c r="C50" s="47"/>
      <c r="D50" s="32"/>
      <c r="E50" s="32"/>
      <c r="F50" s="9"/>
      <c r="G50" s="9"/>
      <c r="H50" s="9"/>
      <c r="I50" s="9"/>
      <c r="J50" s="7"/>
    </row>
    <row r="51" spans="1:10">
      <c r="A51" s="35"/>
      <c r="B51" s="9"/>
      <c r="C51" s="32"/>
      <c r="D51" s="32"/>
      <c r="E51" s="32"/>
      <c r="F51" s="9"/>
      <c r="G51" s="9"/>
      <c r="H51" s="9"/>
      <c r="I51" s="9"/>
      <c r="J51" s="7"/>
    </row>
    <row r="52" spans="1:10">
      <c r="A52" s="35"/>
      <c r="B52" s="9"/>
      <c r="C52" s="47"/>
      <c r="D52" s="32"/>
      <c r="E52" s="32"/>
      <c r="F52" s="9"/>
      <c r="G52" s="9"/>
      <c r="H52" s="9"/>
      <c r="I52" s="9"/>
      <c r="J52" s="7"/>
    </row>
    <row r="53" spans="1:10">
      <c r="A53" s="35"/>
      <c r="B53" s="9"/>
      <c r="C53" s="32"/>
      <c r="D53" s="32"/>
      <c r="E53" s="32"/>
      <c r="F53" s="9"/>
      <c r="G53" s="9"/>
      <c r="H53" s="9"/>
      <c r="I53" s="9"/>
      <c r="J53" s="7"/>
    </row>
    <row r="54" spans="1:10">
      <c r="A54" s="35"/>
      <c r="B54" s="9"/>
      <c r="C54" s="32"/>
      <c r="D54" s="32"/>
      <c r="E54" s="32"/>
      <c r="F54" s="9"/>
      <c r="G54" s="9"/>
      <c r="H54" s="9"/>
      <c r="I54" s="9"/>
      <c r="J54" s="7"/>
    </row>
    <row r="55" spans="1:10">
      <c r="A55" s="35"/>
      <c r="B55" s="9"/>
      <c r="C55" s="32"/>
      <c r="D55" s="32"/>
      <c r="E55" s="32"/>
      <c r="F55" s="9"/>
      <c r="G55" s="9"/>
      <c r="H55" s="9"/>
      <c r="I55" s="9"/>
      <c r="J55" s="7"/>
    </row>
    <row r="56" spans="1:10">
      <c r="A56" s="35"/>
      <c r="B56" s="9"/>
      <c r="C56" s="47"/>
      <c r="D56" s="32"/>
      <c r="E56" s="32"/>
      <c r="F56" s="9"/>
      <c r="G56" s="9"/>
      <c r="H56" s="9"/>
      <c r="I56" s="9"/>
      <c r="J56" s="7"/>
    </row>
    <row r="57" spans="1:10">
      <c r="A57" s="35"/>
      <c r="B57" s="9"/>
      <c r="C57" s="32"/>
      <c r="D57" s="32"/>
      <c r="E57" s="32"/>
      <c r="F57" s="9"/>
      <c r="G57" s="9"/>
      <c r="H57" s="9"/>
      <c r="I57" s="9"/>
      <c r="J57" s="7"/>
    </row>
    <row r="58" spans="1:10">
      <c r="A58" s="35"/>
      <c r="B58" s="9"/>
      <c r="C58" s="32"/>
      <c r="D58" s="32"/>
      <c r="E58" s="32"/>
      <c r="F58" s="9"/>
      <c r="G58" s="9"/>
      <c r="H58" s="9"/>
      <c r="I58" s="9"/>
      <c r="J58" s="7"/>
    </row>
    <row r="59" spans="1:10">
      <c r="A59" s="35"/>
      <c r="B59" s="9"/>
      <c r="C59" s="47"/>
      <c r="D59" s="32"/>
      <c r="E59" s="32"/>
      <c r="F59" s="9"/>
      <c r="G59" s="9"/>
      <c r="H59" s="9"/>
      <c r="I59" s="9"/>
      <c r="J59" s="7"/>
    </row>
    <row r="60" spans="1:10">
      <c r="A60" s="35"/>
      <c r="B60" s="9"/>
      <c r="C60" s="32"/>
      <c r="D60" s="32"/>
      <c r="E60" s="32"/>
      <c r="F60" s="9"/>
      <c r="G60" s="9"/>
      <c r="H60" s="9"/>
      <c r="I60" s="9"/>
      <c r="J60" s="7"/>
    </row>
    <row r="61" spans="1:10">
      <c r="A61" s="35"/>
      <c r="B61" s="9"/>
      <c r="C61" s="32"/>
      <c r="D61" s="32"/>
      <c r="E61" s="32"/>
      <c r="F61" s="9"/>
      <c r="G61" s="9"/>
      <c r="H61" s="9"/>
      <c r="I61" s="9"/>
      <c r="J61" s="7"/>
    </row>
    <row r="62" spans="1:10">
      <c r="A62" s="35"/>
      <c r="B62" s="9"/>
      <c r="C62" s="32"/>
      <c r="D62" s="32"/>
      <c r="E62" s="32"/>
      <c r="F62" s="9"/>
      <c r="G62" s="9"/>
      <c r="H62" s="9"/>
      <c r="I62" s="9"/>
      <c r="J62" s="7"/>
    </row>
    <row r="63" spans="1:10">
      <c r="A63" s="35"/>
      <c r="B63" s="9"/>
      <c r="C63" s="47"/>
      <c r="D63" s="32"/>
      <c r="E63" s="32"/>
      <c r="F63" s="9"/>
      <c r="G63" s="9"/>
      <c r="H63" s="9"/>
      <c r="I63" s="9"/>
      <c r="J63" s="7"/>
    </row>
    <row r="64" spans="1:10">
      <c r="A64" s="35"/>
      <c r="B64" s="9"/>
      <c r="C64" s="32"/>
      <c r="D64" s="32"/>
      <c r="E64" s="32"/>
      <c r="F64" s="9"/>
      <c r="G64" s="9"/>
      <c r="H64" s="9"/>
      <c r="I64" s="9"/>
      <c r="J64" s="7"/>
    </row>
    <row r="65" spans="1:10">
      <c r="A65" s="35"/>
      <c r="B65" s="9"/>
      <c r="C65" s="32"/>
      <c r="D65" s="32"/>
      <c r="E65" s="32"/>
      <c r="F65" s="9"/>
      <c r="G65" s="9"/>
      <c r="H65" s="9"/>
      <c r="I65" s="9"/>
      <c r="J65" s="7"/>
    </row>
    <row r="66" spans="1:10">
      <c r="A66" s="35"/>
      <c r="B66" s="9"/>
      <c r="C66" s="32"/>
      <c r="D66" s="32"/>
      <c r="E66" s="32"/>
      <c r="F66" s="9"/>
      <c r="G66" s="9"/>
      <c r="H66" s="9"/>
      <c r="I66" s="9"/>
      <c r="J66" s="7"/>
    </row>
    <row r="67" spans="1:10">
      <c r="A67" s="35"/>
      <c r="B67" s="9"/>
      <c r="C67" s="32"/>
      <c r="D67" s="32"/>
      <c r="E67" s="32"/>
      <c r="F67" s="9"/>
      <c r="G67" s="9"/>
      <c r="H67" s="9"/>
      <c r="I67" s="9"/>
      <c r="J67" s="7"/>
    </row>
    <row r="68" spans="1:10">
      <c r="A68" s="35"/>
      <c r="B68" s="9"/>
      <c r="C68" s="32"/>
      <c r="D68" s="32"/>
      <c r="E68" s="32"/>
      <c r="F68" s="9"/>
      <c r="G68" s="9"/>
      <c r="H68" s="9"/>
      <c r="I68" s="9"/>
      <c r="J68" s="7"/>
    </row>
    <row r="69" spans="1:10">
      <c r="A69" s="35"/>
      <c r="B69" s="9"/>
      <c r="C69" s="47"/>
      <c r="D69" s="32"/>
      <c r="E69" s="32"/>
      <c r="F69" s="9"/>
      <c r="G69" s="9"/>
      <c r="H69" s="9"/>
      <c r="I69" s="9"/>
      <c r="J69" s="7"/>
    </row>
    <row r="70" spans="1:10">
      <c r="A70" s="35"/>
      <c r="B70" s="9"/>
      <c r="C70" s="32"/>
      <c r="D70" s="32"/>
      <c r="E70" s="32"/>
      <c r="F70" s="9"/>
      <c r="G70" s="9"/>
      <c r="H70" s="9"/>
      <c r="I70" s="9"/>
      <c r="J70" s="7"/>
    </row>
    <row r="71" spans="1:10">
      <c r="A71" s="35"/>
      <c r="B71" s="9"/>
      <c r="C71" s="32"/>
      <c r="D71" s="32"/>
      <c r="E71" s="32"/>
      <c r="F71" s="9"/>
      <c r="G71" s="9"/>
      <c r="H71" s="9"/>
      <c r="I71" s="9"/>
      <c r="J71" s="7"/>
    </row>
    <row r="72" spans="1:10">
      <c r="A72" s="35"/>
      <c r="B72" s="9"/>
      <c r="C72" s="32"/>
      <c r="D72" s="32"/>
      <c r="E72" s="32"/>
      <c r="F72" s="9"/>
      <c r="G72" s="9"/>
      <c r="H72" s="9"/>
      <c r="I72" s="9"/>
      <c r="J72" s="7"/>
    </row>
    <row r="73" spans="1:10">
      <c r="A73" s="35"/>
      <c r="B73" s="9"/>
      <c r="C73" s="47"/>
      <c r="D73" s="32"/>
      <c r="E73" s="32"/>
      <c r="F73" s="9"/>
      <c r="G73" s="9"/>
      <c r="H73" s="9"/>
      <c r="I73" s="9"/>
      <c r="J73" s="7"/>
    </row>
    <row r="74" spans="1:10">
      <c r="A74" s="35"/>
      <c r="B74" s="9"/>
      <c r="C74" s="32"/>
      <c r="D74" s="32"/>
      <c r="E74" s="32"/>
      <c r="F74" s="9"/>
      <c r="G74" s="9"/>
      <c r="H74" s="9"/>
      <c r="I74" s="9"/>
      <c r="J74" s="7"/>
    </row>
    <row r="75" spans="1:10">
      <c r="A75" s="35"/>
      <c r="B75" s="9"/>
      <c r="C75" s="32"/>
      <c r="D75" s="32"/>
      <c r="E75" s="32"/>
      <c r="F75" s="9"/>
      <c r="G75" s="9"/>
      <c r="H75" s="9"/>
      <c r="I75" s="9"/>
      <c r="J75" s="7"/>
    </row>
    <row r="76" spans="1:10">
      <c r="A76" s="35"/>
      <c r="B76" s="9"/>
      <c r="C76" s="32"/>
      <c r="D76" s="32"/>
      <c r="E76" s="32"/>
      <c r="F76" s="9"/>
      <c r="G76" s="9"/>
      <c r="H76" s="9"/>
      <c r="I76" s="9"/>
      <c r="J76" s="7"/>
    </row>
    <row r="77" spans="1:10">
      <c r="A77" s="35"/>
      <c r="B77" s="9"/>
      <c r="C77" s="32"/>
      <c r="D77" s="32"/>
      <c r="E77" s="32"/>
      <c r="F77" s="9"/>
      <c r="G77" s="9"/>
      <c r="H77" s="9"/>
      <c r="I77" s="9"/>
      <c r="J77" s="7"/>
    </row>
    <row r="78" spans="1:10">
      <c r="A78" s="35"/>
      <c r="B78" s="9"/>
      <c r="C78" s="32"/>
      <c r="D78" s="32"/>
      <c r="E78" s="32"/>
      <c r="F78" s="9"/>
      <c r="G78" s="9"/>
      <c r="H78" s="9"/>
      <c r="I78" s="9"/>
      <c r="J78" s="7"/>
    </row>
    <row r="79" spans="1:10">
      <c r="A79" s="35"/>
      <c r="B79" s="9"/>
      <c r="C79" s="47"/>
      <c r="D79" s="32"/>
      <c r="E79" s="32"/>
      <c r="F79" s="9"/>
      <c r="G79" s="9"/>
      <c r="H79" s="9"/>
      <c r="I79" s="9"/>
      <c r="J79" s="7"/>
    </row>
    <row r="80" spans="1:10">
      <c r="A80" s="35"/>
      <c r="B80" s="9"/>
      <c r="C80" s="47"/>
      <c r="D80" s="32"/>
      <c r="E80" s="32"/>
      <c r="F80" s="9"/>
      <c r="G80" s="9"/>
      <c r="H80" s="9"/>
      <c r="I80" s="9"/>
      <c r="J80" s="7"/>
    </row>
    <row r="81" spans="1:10">
      <c r="A81" s="35"/>
      <c r="B81" s="9"/>
      <c r="C81" s="32"/>
      <c r="D81" s="32"/>
      <c r="E81" s="32"/>
      <c r="F81" s="9"/>
      <c r="G81" s="9"/>
      <c r="H81" s="9"/>
      <c r="I81" s="9"/>
      <c r="J81" s="7"/>
    </row>
    <row r="82" spans="1:10">
      <c r="A82" s="35"/>
      <c r="B82" s="9"/>
      <c r="C82" s="32"/>
      <c r="D82" s="32"/>
      <c r="E82" s="32"/>
      <c r="F82" s="9"/>
      <c r="G82" s="9"/>
      <c r="H82" s="9"/>
      <c r="I82" s="9"/>
      <c r="J82" s="7"/>
    </row>
    <row r="83" spans="1:10">
      <c r="A83" s="35"/>
      <c r="B83" s="9"/>
      <c r="C83" s="32"/>
      <c r="D83" s="32"/>
      <c r="E83" s="32"/>
      <c r="F83" s="9"/>
      <c r="G83" s="9"/>
      <c r="H83" s="9"/>
      <c r="I83" s="9"/>
      <c r="J83" s="7"/>
    </row>
    <row r="84" spans="1:10">
      <c r="A84" s="35"/>
      <c r="B84" s="9"/>
      <c r="C84" s="47"/>
      <c r="D84" s="32"/>
      <c r="E84" s="32"/>
      <c r="F84" s="9"/>
      <c r="G84" s="9"/>
      <c r="H84" s="9"/>
      <c r="I84" s="9"/>
      <c r="J84" s="7"/>
    </row>
    <row r="85" spans="1:10">
      <c r="A85" s="35"/>
      <c r="B85" s="9"/>
      <c r="C85" s="32"/>
      <c r="D85" s="32"/>
      <c r="E85" s="32"/>
      <c r="F85" s="9"/>
      <c r="G85" s="9"/>
      <c r="H85" s="9"/>
      <c r="I85" s="9"/>
      <c r="J85" s="7"/>
    </row>
    <row r="86" spans="1:10">
      <c r="A86" s="35"/>
      <c r="B86" s="9"/>
      <c r="C86" s="47"/>
      <c r="D86" s="32"/>
      <c r="E86" s="32"/>
      <c r="F86" s="9"/>
      <c r="G86" s="9"/>
      <c r="H86" s="9"/>
      <c r="I86" s="9"/>
      <c r="J86" s="7"/>
    </row>
    <row r="87" spans="1:10">
      <c r="A87" s="35"/>
      <c r="B87" s="9"/>
      <c r="C87" s="32"/>
      <c r="D87" s="32"/>
      <c r="E87" s="32"/>
      <c r="F87" s="9"/>
      <c r="G87" s="9"/>
      <c r="H87" s="9"/>
      <c r="I87" s="9"/>
      <c r="J87" s="7"/>
    </row>
    <row r="88" spans="1:10">
      <c r="A88" s="35"/>
      <c r="B88" s="9"/>
      <c r="C88" s="32"/>
      <c r="D88" s="32"/>
      <c r="E88" s="32"/>
      <c r="F88" s="9"/>
      <c r="G88" s="9"/>
      <c r="H88" s="9"/>
      <c r="I88" s="9"/>
      <c r="J88" s="7"/>
    </row>
    <row r="89" spans="1:10">
      <c r="A89" s="35"/>
      <c r="B89" s="9"/>
      <c r="C89" s="32"/>
      <c r="D89" s="32"/>
      <c r="E89" s="32"/>
      <c r="F89" s="9"/>
      <c r="G89" s="9"/>
      <c r="H89" s="9"/>
      <c r="I89" s="9"/>
      <c r="J89" s="7"/>
    </row>
    <row r="90" spans="1:10">
      <c r="A90" s="35"/>
      <c r="B90" s="9"/>
      <c r="C90" s="32"/>
      <c r="D90" s="32"/>
      <c r="E90" s="32"/>
      <c r="F90" s="9"/>
      <c r="G90" s="9"/>
      <c r="H90" s="9"/>
      <c r="I90" s="9"/>
      <c r="J90" s="7"/>
    </row>
    <row r="91" spans="1:10">
      <c r="A91" s="35"/>
      <c r="B91" s="9"/>
      <c r="C91" s="47"/>
      <c r="D91" s="32"/>
      <c r="E91" s="32"/>
      <c r="F91" s="9"/>
      <c r="G91" s="9"/>
      <c r="H91" s="9"/>
      <c r="I91" s="9"/>
      <c r="J91" s="7"/>
    </row>
    <row r="92" spans="1:10">
      <c r="A92" s="35"/>
      <c r="B92" s="9"/>
      <c r="C92" s="32"/>
      <c r="D92" s="32"/>
      <c r="E92" s="32"/>
      <c r="F92" s="9"/>
      <c r="G92" s="9"/>
      <c r="H92" s="9"/>
      <c r="I92" s="9"/>
      <c r="J92" s="7"/>
    </row>
    <row r="93" spans="1:10">
      <c r="A93" s="35"/>
      <c r="B93" s="9"/>
      <c r="C93" s="32"/>
      <c r="D93" s="32"/>
      <c r="E93" s="32"/>
      <c r="F93" s="9"/>
      <c r="G93" s="9"/>
      <c r="H93" s="9"/>
      <c r="I93" s="9"/>
      <c r="J93" s="7"/>
    </row>
    <row r="94" spans="1:10">
      <c r="A94" s="35"/>
      <c r="B94" s="9"/>
      <c r="C94" s="47"/>
      <c r="D94" s="32"/>
      <c r="E94" s="32"/>
      <c r="F94" s="9"/>
      <c r="G94" s="9"/>
      <c r="H94" s="9"/>
      <c r="I94" s="9"/>
      <c r="J94" s="7"/>
    </row>
    <row r="95" spans="1:10">
      <c r="A95" s="35"/>
      <c r="B95" s="9"/>
      <c r="C95" s="32"/>
      <c r="D95" s="32"/>
      <c r="E95" s="32"/>
      <c r="F95" s="9"/>
      <c r="G95" s="9"/>
      <c r="H95" s="9"/>
      <c r="I95" s="9"/>
      <c r="J95" s="7"/>
    </row>
    <row r="96" spans="1:10">
      <c r="A96" s="35"/>
      <c r="B96" s="9"/>
      <c r="C96" s="32"/>
      <c r="D96" s="32"/>
      <c r="E96" s="32"/>
      <c r="F96" s="9"/>
      <c r="G96" s="9"/>
      <c r="H96" s="9"/>
      <c r="I96" s="9"/>
      <c r="J96" s="7"/>
    </row>
    <row r="97" spans="1:10">
      <c r="A97" s="35"/>
      <c r="B97" s="9"/>
      <c r="C97" s="32"/>
      <c r="D97" s="32"/>
      <c r="E97" s="32"/>
      <c r="F97" s="9"/>
      <c r="G97" s="9"/>
      <c r="H97" s="9"/>
      <c r="I97" s="9"/>
      <c r="J97" s="7"/>
    </row>
    <row r="98" spans="1:10">
      <c r="A98" s="35"/>
      <c r="B98" s="9"/>
      <c r="C98" s="32"/>
      <c r="D98" s="32"/>
      <c r="E98" s="32"/>
      <c r="F98" s="9"/>
      <c r="G98" s="9"/>
      <c r="H98" s="9"/>
      <c r="I98" s="9"/>
      <c r="J98" s="7"/>
    </row>
    <row r="99" spans="1:10">
      <c r="A99" s="35"/>
      <c r="B99" s="9"/>
      <c r="C99" s="47"/>
      <c r="D99" s="32"/>
      <c r="E99" s="32"/>
      <c r="F99" s="9"/>
      <c r="G99" s="9"/>
      <c r="H99" s="9"/>
      <c r="I99" s="9"/>
      <c r="J99" s="7"/>
    </row>
    <row r="100" spans="1:10">
      <c r="A100" s="35"/>
      <c r="B100" s="9"/>
      <c r="C100" s="32"/>
      <c r="D100" s="32"/>
      <c r="E100" s="32"/>
      <c r="F100" s="9"/>
      <c r="G100" s="9"/>
      <c r="H100" s="9"/>
      <c r="I100" s="9"/>
      <c r="J100" s="7"/>
    </row>
    <row r="101" spans="1:10">
      <c r="A101" s="35"/>
      <c r="B101" s="9"/>
      <c r="C101" s="32"/>
      <c r="D101" s="32"/>
      <c r="E101" s="32"/>
      <c r="F101" s="9"/>
      <c r="G101" s="9"/>
      <c r="H101" s="9"/>
      <c r="I101" s="9"/>
      <c r="J101" s="7"/>
    </row>
    <row r="102" spans="1:10">
      <c r="A102" s="35"/>
      <c r="B102" s="9"/>
      <c r="C102" s="47"/>
      <c r="D102" s="32"/>
      <c r="E102" s="32"/>
      <c r="F102" s="9"/>
      <c r="G102" s="9"/>
      <c r="H102" s="9"/>
      <c r="I102" s="9"/>
      <c r="J102" s="7"/>
    </row>
    <row r="103" spans="1:10">
      <c r="A103" s="35"/>
      <c r="B103" s="9"/>
      <c r="C103" s="32"/>
      <c r="D103" s="32"/>
      <c r="E103" s="32"/>
      <c r="F103" s="9"/>
      <c r="G103" s="9"/>
      <c r="H103" s="9"/>
      <c r="I103" s="9"/>
      <c r="J103" s="7"/>
    </row>
    <row r="104" spans="1:10">
      <c r="A104" s="35"/>
      <c r="B104" s="9"/>
      <c r="C104" s="32"/>
      <c r="D104" s="32"/>
      <c r="E104" s="32"/>
      <c r="F104" s="9"/>
      <c r="G104" s="9"/>
      <c r="H104" s="9"/>
      <c r="I104" s="9"/>
      <c r="J104" s="7"/>
    </row>
    <row r="105" spans="1:10">
      <c r="A105" s="35"/>
      <c r="B105" s="9"/>
      <c r="C105" s="32"/>
      <c r="D105" s="32"/>
      <c r="E105" s="32"/>
      <c r="F105" s="9"/>
      <c r="G105" s="9"/>
      <c r="H105" s="9"/>
      <c r="I105" s="9"/>
      <c r="J105" s="7"/>
    </row>
    <row r="106" spans="1:10">
      <c r="A106" s="35"/>
      <c r="B106" s="9"/>
      <c r="C106" s="47"/>
      <c r="D106" s="32"/>
      <c r="E106" s="32"/>
      <c r="F106" s="9"/>
      <c r="G106" s="9"/>
      <c r="H106" s="9"/>
      <c r="I106" s="9"/>
      <c r="J106" s="7"/>
    </row>
    <row r="107" spans="1:10">
      <c r="A107" s="35"/>
      <c r="B107" s="9"/>
      <c r="C107" s="32"/>
      <c r="D107" s="32"/>
      <c r="E107" s="32"/>
      <c r="F107" s="9"/>
      <c r="G107" s="9"/>
      <c r="H107" s="9"/>
      <c r="I107" s="9"/>
      <c r="J107" s="7"/>
    </row>
    <row r="108" spans="1:10">
      <c r="A108" s="35"/>
      <c r="B108" s="9"/>
      <c r="C108" s="47"/>
      <c r="D108" s="32"/>
      <c r="E108" s="32"/>
      <c r="F108" s="9"/>
      <c r="G108" s="9"/>
      <c r="H108" s="9"/>
      <c r="I108" s="9"/>
      <c r="J108" s="7"/>
    </row>
    <row r="109" spans="1:10">
      <c r="A109" s="35"/>
      <c r="B109" s="9"/>
      <c r="C109" s="47"/>
      <c r="D109" s="32"/>
      <c r="E109" s="32"/>
      <c r="F109" s="9"/>
      <c r="G109" s="9"/>
      <c r="H109" s="9"/>
      <c r="I109" s="9"/>
      <c r="J109" s="7"/>
    </row>
    <row r="110" spans="1:10">
      <c r="A110" s="35"/>
      <c r="B110" s="9"/>
      <c r="C110" s="32"/>
      <c r="D110" s="32"/>
      <c r="E110" s="32"/>
      <c r="F110" s="9"/>
      <c r="G110" s="9"/>
      <c r="H110" s="9"/>
      <c r="I110" s="9"/>
      <c r="J110" s="7"/>
    </row>
    <row r="111" spans="1:10">
      <c r="A111" s="35"/>
      <c r="B111" s="9"/>
      <c r="C111" s="32"/>
      <c r="D111" s="32"/>
      <c r="E111" s="32"/>
      <c r="F111" s="9"/>
      <c r="G111" s="9"/>
      <c r="H111" s="9"/>
      <c r="I111" s="9"/>
      <c r="J111" s="7"/>
    </row>
    <row r="112" spans="1:10">
      <c r="A112" s="35"/>
      <c r="B112" s="9"/>
      <c r="C112" s="32"/>
      <c r="D112" s="32"/>
      <c r="E112" s="32"/>
      <c r="F112" s="9"/>
      <c r="G112" s="9"/>
      <c r="H112" s="9"/>
      <c r="I112" s="9"/>
      <c r="J112" s="7"/>
    </row>
    <row r="113" spans="1:10">
      <c r="A113" s="35"/>
      <c r="B113" s="9"/>
      <c r="C113" s="47"/>
      <c r="D113" s="32"/>
      <c r="E113" s="32"/>
      <c r="F113" s="9"/>
      <c r="G113" s="9"/>
      <c r="H113" s="9"/>
      <c r="I113" s="9"/>
      <c r="J113" s="7"/>
    </row>
    <row r="114" spans="1:10">
      <c r="A114" s="35"/>
      <c r="B114" s="9"/>
      <c r="C114" s="32"/>
      <c r="D114" s="32"/>
      <c r="E114" s="32"/>
      <c r="F114" s="9"/>
      <c r="G114" s="9"/>
      <c r="H114" s="9"/>
      <c r="I114" s="9"/>
      <c r="J114" s="7"/>
    </row>
    <row r="115" spans="1:10">
      <c r="A115" s="35"/>
      <c r="B115" s="9"/>
      <c r="C115" s="32"/>
      <c r="D115" s="32"/>
      <c r="E115" s="32"/>
      <c r="F115" s="9"/>
      <c r="G115" s="9"/>
      <c r="H115" s="9"/>
      <c r="I115" s="9"/>
      <c r="J115" s="7"/>
    </row>
    <row r="116" spans="1:10">
      <c r="A116" s="35"/>
      <c r="B116" s="9"/>
      <c r="C116" s="32"/>
      <c r="D116" s="32"/>
      <c r="E116" s="32"/>
      <c r="F116" s="9"/>
      <c r="G116" s="9"/>
      <c r="H116" s="9"/>
      <c r="I116" s="9"/>
      <c r="J116" s="7"/>
    </row>
    <row r="117" spans="1:10">
      <c r="A117" s="35"/>
      <c r="B117" s="9"/>
      <c r="C117" s="32"/>
      <c r="D117" s="32"/>
      <c r="E117" s="32"/>
      <c r="F117" s="9"/>
      <c r="G117" s="9"/>
      <c r="H117" s="9"/>
      <c r="I117" s="9"/>
      <c r="J117" s="7"/>
    </row>
    <row r="118" spans="1:10">
      <c r="A118" s="35"/>
      <c r="B118" s="9"/>
      <c r="C118" s="32"/>
      <c r="D118" s="32"/>
      <c r="E118" s="32"/>
      <c r="F118" s="9"/>
      <c r="G118" s="9"/>
      <c r="H118" s="9"/>
      <c r="I118" s="9"/>
      <c r="J118" s="7"/>
    </row>
    <row r="119" spans="1:10">
      <c r="A119" s="35"/>
      <c r="B119" s="9"/>
      <c r="C119" s="32"/>
      <c r="D119" s="32"/>
      <c r="E119" s="32"/>
      <c r="F119" s="9"/>
      <c r="G119" s="9"/>
      <c r="H119" s="9"/>
      <c r="I119" s="9"/>
      <c r="J119" s="7"/>
    </row>
    <row r="120" spans="1:10">
      <c r="A120" s="35"/>
      <c r="B120" s="9"/>
      <c r="C120" s="32"/>
      <c r="D120" s="32"/>
      <c r="E120" s="32"/>
      <c r="F120" s="9"/>
      <c r="G120" s="9"/>
      <c r="H120" s="9"/>
      <c r="I120" s="9"/>
      <c r="J120" s="7"/>
    </row>
    <row r="121" spans="1:10">
      <c r="A121" s="35"/>
      <c r="B121" s="9"/>
      <c r="C121" s="32"/>
      <c r="D121" s="32"/>
      <c r="E121" s="32"/>
      <c r="F121" s="9"/>
      <c r="G121" s="9"/>
      <c r="H121" s="9"/>
      <c r="I121" s="9"/>
      <c r="J121" s="7"/>
    </row>
    <row r="122" spans="1:10">
      <c r="A122" s="35"/>
      <c r="B122" s="9"/>
      <c r="C122" s="32"/>
      <c r="D122" s="32"/>
      <c r="E122" s="32"/>
      <c r="F122" s="9"/>
      <c r="G122" s="9"/>
      <c r="H122" s="9"/>
      <c r="I122" s="9"/>
      <c r="J122" s="7"/>
    </row>
    <row r="123" spans="1:10">
      <c r="A123" s="35"/>
      <c r="B123" s="9"/>
      <c r="C123" s="32"/>
      <c r="D123" s="32"/>
      <c r="E123" s="32"/>
      <c r="F123" s="9"/>
      <c r="G123" s="9"/>
      <c r="H123" s="9"/>
      <c r="I123" s="9"/>
      <c r="J123" s="7"/>
    </row>
    <row r="124" spans="1:10">
      <c r="A124" s="35"/>
      <c r="B124" s="9"/>
      <c r="C124" s="32"/>
      <c r="D124" s="32"/>
      <c r="E124" s="32"/>
      <c r="F124" s="9"/>
      <c r="G124" s="9"/>
      <c r="H124" s="9"/>
      <c r="I124" s="9"/>
      <c r="J124" s="7"/>
    </row>
    <row r="125" spans="1:10">
      <c r="A125" s="35"/>
      <c r="B125" s="9"/>
      <c r="C125" s="32"/>
      <c r="D125" s="32"/>
      <c r="E125" s="32"/>
      <c r="F125" s="9"/>
      <c r="G125" s="9"/>
      <c r="H125" s="9"/>
      <c r="I125" s="9"/>
      <c r="J125" s="7"/>
    </row>
    <row r="126" spans="1:10">
      <c r="A126" s="35"/>
      <c r="B126" s="9"/>
      <c r="C126" s="32"/>
      <c r="D126" s="32"/>
      <c r="E126" s="32"/>
      <c r="F126" s="9"/>
      <c r="G126" s="9"/>
      <c r="H126" s="9"/>
      <c r="I126" s="9"/>
      <c r="J126" s="7"/>
    </row>
    <row r="127" spans="1:10">
      <c r="A127" s="35"/>
      <c r="B127" s="9"/>
      <c r="C127" s="32"/>
      <c r="D127" s="32"/>
      <c r="E127" s="32"/>
      <c r="F127" s="9"/>
      <c r="G127" s="9"/>
      <c r="H127" s="9"/>
      <c r="I127" s="9"/>
      <c r="J127" s="7"/>
    </row>
    <row r="128" spans="1:10">
      <c r="A128" s="35"/>
      <c r="B128" s="9"/>
      <c r="C128" s="32"/>
      <c r="D128" s="32"/>
      <c r="E128" s="32"/>
      <c r="F128" s="9"/>
      <c r="G128" s="9"/>
      <c r="H128" s="9"/>
      <c r="I128" s="9"/>
      <c r="J128" s="7"/>
    </row>
    <row r="129" spans="1:10">
      <c r="A129" s="35"/>
      <c r="B129" s="9"/>
      <c r="C129" s="32"/>
      <c r="D129" s="32"/>
      <c r="E129" s="32"/>
      <c r="F129" s="9"/>
      <c r="G129" s="9"/>
      <c r="H129" s="9"/>
      <c r="I129" s="9"/>
      <c r="J129" s="7"/>
    </row>
    <row r="130" spans="1:10">
      <c r="A130" s="35"/>
      <c r="B130" s="9"/>
      <c r="C130" s="32"/>
      <c r="D130" s="32"/>
      <c r="E130" s="32"/>
      <c r="F130" s="9"/>
      <c r="G130" s="9"/>
      <c r="H130" s="9"/>
      <c r="I130" s="9"/>
      <c r="J130" s="7"/>
    </row>
    <row r="131" spans="1:10">
      <c r="A131" s="35"/>
      <c r="B131" s="9"/>
      <c r="C131" s="32"/>
      <c r="D131" s="32"/>
      <c r="E131" s="32"/>
      <c r="F131" s="9"/>
      <c r="G131" s="9"/>
      <c r="H131" s="9"/>
      <c r="I131" s="9"/>
      <c r="J131" s="7"/>
    </row>
    <row r="132" spans="1:10">
      <c r="A132" s="35"/>
      <c r="B132" s="9"/>
      <c r="C132" s="32"/>
      <c r="D132" s="32"/>
      <c r="E132" s="32"/>
      <c r="F132" s="9"/>
      <c r="G132" s="9"/>
      <c r="H132" s="9"/>
      <c r="I132" s="9"/>
      <c r="J132" s="7"/>
    </row>
    <row r="133" spans="1:10">
      <c r="A133" s="35"/>
      <c r="B133" s="9"/>
      <c r="C133" s="32"/>
      <c r="D133" s="32"/>
      <c r="E133" s="32"/>
      <c r="F133" s="9"/>
      <c r="G133" s="9"/>
      <c r="H133" s="9"/>
      <c r="I133" s="9"/>
      <c r="J133" s="7"/>
    </row>
    <row r="134" spans="1:10">
      <c r="A134" s="35"/>
      <c r="B134" s="9"/>
      <c r="C134" s="32"/>
      <c r="D134" s="32"/>
      <c r="E134" s="32"/>
      <c r="F134" s="9"/>
      <c r="G134" s="9"/>
      <c r="H134" s="9"/>
      <c r="I134" s="9"/>
      <c r="J134" s="7"/>
    </row>
    <row r="135" spans="1:10">
      <c r="A135" s="35"/>
      <c r="B135" s="9"/>
      <c r="C135" s="32"/>
      <c r="D135" s="32"/>
      <c r="E135" s="32"/>
      <c r="F135" s="9"/>
      <c r="G135" s="9"/>
      <c r="H135" s="9"/>
      <c r="I135" s="9"/>
      <c r="J135" s="7"/>
    </row>
    <row r="136" spans="1:10">
      <c r="A136" s="35"/>
      <c r="B136" s="9"/>
      <c r="C136" s="32"/>
      <c r="D136" s="32"/>
      <c r="E136" s="32"/>
      <c r="F136" s="9"/>
      <c r="G136" s="9"/>
      <c r="H136" s="9"/>
      <c r="I136" s="9"/>
      <c r="J136" s="7"/>
    </row>
    <row r="137" spans="1:10">
      <c r="A137" s="35"/>
      <c r="B137" s="9"/>
      <c r="C137" s="32"/>
      <c r="D137" s="32"/>
      <c r="E137" s="32"/>
      <c r="F137" s="9"/>
      <c r="G137" s="9"/>
      <c r="H137" s="9"/>
      <c r="I137" s="9"/>
      <c r="J137" s="7"/>
    </row>
    <row r="138" spans="1:10">
      <c r="A138" s="35"/>
      <c r="B138" s="9"/>
      <c r="C138" s="32"/>
      <c r="D138" s="32"/>
      <c r="E138" s="32"/>
      <c r="F138" s="9"/>
      <c r="G138" s="9"/>
      <c r="H138" s="9"/>
      <c r="I138" s="9"/>
      <c r="J138" s="7"/>
    </row>
    <row r="139" spans="1:10">
      <c r="A139" s="35"/>
      <c r="B139" s="9"/>
      <c r="C139" s="32"/>
      <c r="D139" s="32"/>
      <c r="E139" s="32"/>
      <c r="F139" s="9"/>
      <c r="G139" s="9"/>
      <c r="H139" s="9"/>
      <c r="I139" s="9"/>
      <c r="J139" s="7"/>
    </row>
    <row r="140" spans="1:10">
      <c r="A140" s="35"/>
      <c r="B140" s="9"/>
      <c r="C140" s="32"/>
      <c r="D140" s="32"/>
      <c r="E140" s="32"/>
      <c r="F140" s="9"/>
      <c r="G140" s="9"/>
      <c r="H140" s="9"/>
      <c r="I140" s="9"/>
      <c r="J140" s="7"/>
    </row>
    <row r="141" spans="1:10">
      <c r="A141" s="35"/>
      <c r="B141" s="9"/>
      <c r="C141" s="32"/>
      <c r="D141" s="32"/>
      <c r="E141" s="32"/>
      <c r="F141" s="9"/>
      <c r="G141" s="9"/>
      <c r="H141" s="9"/>
      <c r="I141" s="9"/>
      <c r="J141" s="7"/>
    </row>
    <row r="142" spans="1:10">
      <c r="A142" s="35"/>
      <c r="B142" s="9"/>
      <c r="C142" s="32"/>
      <c r="D142" s="32"/>
      <c r="E142" s="32"/>
      <c r="F142" s="9"/>
      <c r="G142" s="9"/>
      <c r="H142" s="9"/>
      <c r="I142" s="9"/>
      <c r="J142" s="7"/>
    </row>
    <row r="143" spans="1:10">
      <c r="A143" s="44"/>
      <c r="B143" s="9"/>
      <c r="C143" s="32"/>
      <c r="D143" s="32"/>
      <c r="E143" s="32"/>
      <c r="F143" s="9"/>
      <c r="G143" s="9"/>
      <c r="H143" s="9"/>
      <c r="I143" s="9"/>
      <c r="J143" s="7"/>
    </row>
    <row r="144" spans="1:10">
      <c r="A144" s="44"/>
      <c r="B144" s="9"/>
      <c r="C144" s="32"/>
      <c r="D144" s="32"/>
      <c r="E144" s="32"/>
      <c r="F144" s="9"/>
      <c r="G144" s="9"/>
      <c r="H144" s="9"/>
      <c r="I144" s="9"/>
      <c r="J144" s="7"/>
    </row>
    <row r="145" spans="1:10">
      <c r="A145" s="44"/>
      <c r="B145" s="9"/>
      <c r="C145" s="32"/>
      <c r="D145" s="32"/>
      <c r="E145" s="32"/>
      <c r="F145" s="9"/>
      <c r="G145" s="9"/>
      <c r="H145" s="9"/>
      <c r="I145" s="9"/>
      <c r="J145" s="7"/>
    </row>
    <row r="146" spans="1:10">
      <c r="A146" s="44"/>
      <c r="B146" s="9"/>
      <c r="C146" s="32"/>
      <c r="D146" s="32"/>
      <c r="E146" s="32"/>
      <c r="F146" s="9"/>
      <c r="G146" s="9"/>
      <c r="H146" s="9"/>
      <c r="I146" s="9"/>
      <c r="J146" s="7"/>
    </row>
    <row r="147" spans="1:10">
      <c r="A147" s="44"/>
      <c r="B147" s="9"/>
      <c r="C147" s="32"/>
      <c r="D147" s="32"/>
      <c r="E147" s="32"/>
      <c r="F147" s="9"/>
      <c r="G147" s="9"/>
      <c r="H147" s="9"/>
      <c r="I147" s="9"/>
      <c r="J147" s="7"/>
    </row>
    <row r="148" spans="1:10">
      <c r="A148" s="44"/>
      <c r="B148" s="9"/>
      <c r="C148" s="32"/>
      <c r="D148" s="32"/>
      <c r="E148" s="32"/>
      <c r="F148" s="9"/>
      <c r="G148" s="9"/>
      <c r="H148" s="9"/>
      <c r="I148" s="9"/>
      <c r="J148" s="7"/>
    </row>
    <row r="149" spans="1:10">
      <c r="A149" s="44"/>
      <c r="B149" s="9"/>
      <c r="C149" s="32"/>
      <c r="D149" s="32"/>
      <c r="E149" s="32"/>
      <c r="F149" s="9"/>
      <c r="G149" s="9"/>
      <c r="H149" s="9"/>
      <c r="I149" s="9"/>
      <c r="J149" s="7"/>
    </row>
    <row r="150" spans="1:10">
      <c r="A150" s="44"/>
      <c r="B150" s="9"/>
      <c r="C150" s="32"/>
      <c r="D150" s="32"/>
      <c r="E150" s="32"/>
      <c r="F150" s="9"/>
      <c r="G150" s="9"/>
      <c r="H150" s="9"/>
      <c r="I150" s="9"/>
      <c r="J150" s="7"/>
    </row>
    <row r="151" spans="1:10">
      <c r="A151" s="44"/>
      <c r="B151" s="9"/>
      <c r="C151" s="32"/>
      <c r="D151" s="32"/>
      <c r="E151" s="32"/>
      <c r="F151" s="9"/>
      <c r="G151" s="9"/>
      <c r="H151" s="9"/>
      <c r="I151" s="9"/>
      <c r="J151" s="7"/>
    </row>
    <row r="152" spans="1:10">
      <c r="A152" s="44"/>
      <c r="B152" s="9"/>
      <c r="C152" s="32"/>
      <c r="D152" s="32"/>
      <c r="E152" s="32"/>
      <c r="F152" s="9"/>
      <c r="G152" s="9"/>
      <c r="H152" s="9"/>
      <c r="I152" s="9"/>
      <c r="J152" s="7"/>
    </row>
    <row r="153" spans="1:10">
      <c r="A153" s="44"/>
      <c r="B153" s="9"/>
      <c r="C153" s="32"/>
      <c r="D153" s="32"/>
      <c r="E153" s="32"/>
      <c r="F153" s="9"/>
      <c r="G153" s="9"/>
      <c r="H153" s="9"/>
      <c r="I153" s="9"/>
      <c r="J153" s="7"/>
    </row>
    <row r="154" spans="1:10">
      <c r="A154" s="44"/>
      <c r="B154" s="9"/>
      <c r="C154" s="32"/>
      <c r="D154" s="32"/>
      <c r="E154" s="32"/>
      <c r="F154" s="9"/>
      <c r="G154" s="9"/>
      <c r="H154" s="9"/>
      <c r="I154" s="9"/>
      <c r="J154" s="7"/>
    </row>
    <row r="155" spans="1:10">
      <c r="A155" s="44"/>
      <c r="B155" s="9"/>
      <c r="C155" s="32"/>
      <c r="D155" s="32"/>
      <c r="E155" s="32"/>
      <c r="F155" s="9"/>
      <c r="G155" s="9"/>
      <c r="H155" s="9"/>
      <c r="I155" s="9"/>
      <c r="J155" s="7"/>
    </row>
    <row r="156" spans="1:10">
      <c r="A156" s="44"/>
      <c r="B156" s="9"/>
      <c r="C156" s="32"/>
      <c r="D156" s="32"/>
      <c r="E156" s="32"/>
      <c r="F156" s="9"/>
      <c r="G156" s="9"/>
      <c r="H156" s="9"/>
      <c r="I156" s="9"/>
      <c r="J156" s="7"/>
    </row>
    <row r="157" spans="1:10">
      <c r="A157" s="44"/>
      <c r="B157" s="9"/>
      <c r="C157" s="32"/>
      <c r="D157" s="32"/>
      <c r="E157" s="32"/>
      <c r="F157" s="9"/>
      <c r="G157" s="9"/>
      <c r="H157" s="9"/>
      <c r="I157" s="9"/>
      <c r="J157" s="7"/>
    </row>
    <row r="158" spans="1:10">
      <c r="A158" s="44"/>
      <c r="B158" s="9"/>
      <c r="C158" s="32"/>
      <c r="D158" s="32"/>
      <c r="E158" s="32"/>
      <c r="F158" s="9"/>
      <c r="G158" s="9"/>
      <c r="H158" s="9"/>
      <c r="I158" s="9"/>
      <c r="J158" s="7"/>
    </row>
    <row r="159" spans="1:10">
      <c r="A159" s="44"/>
      <c r="B159" s="9"/>
      <c r="C159" s="32"/>
      <c r="D159" s="32"/>
      <c r="E159" s="32"/>
      <c r="F159" s="9"/>
      <c r="G159" s="9"/>
      <c r="H159" s="9"/>
      <c r="I159" s="9"/>
      <c r="J159" s="7"/>
    </row>
    <row r="160" spans="1:10">
      <c r="A160" s="44"/>
      <c r="B160" s="9"/>
      <c r="C160" s="32"/>
      <c r="D160" s="32"/>
      <c r="E160" s="32"/>
      <c r="F160" s="9"/>
      <c r="G160" s="9"/>
      <c r="H160" s="9"/>
      <c r="I160" s="9"/>
      <c r="J160" s="7"/>
    </row>
    <row r="161" spans="1:10">
      <c r="A161" s="44"/>
      <c r="B161" s="9"/>
      <c r="C161" s="32"/>
      <c r="D161" s="32"/>
      <c r="E161" s="32"/>
      <c r="F161" s="9"/>
      <c r="G161" s="9"/>
      <c r="H161" s="9"/>
      <c r="I161" s="9"/>
      <c r="J161" s="7"/>
    </row>
    <row r="162" spans="1:10">
      <c r="A162" s="44"/>
      <c r="B162" s="9"/>
      <c r="C162" s="32"/>
      <c r="D162" s="32"/>
      <c r="E162" s="32"/>
      <c r="F162" s="9"/>
      <c r="G162" s="9"/>
      <c r="H162" s="9"/>
      <c r="I162" s="9"/>
      <c r="J162" s="7"/>
    </row>
    <row r="163" spans="1:10">
      <c r="A163" s="44"/>
      <c r="B163" s="9"/>
      <c r="C163" s="32"/>
      <c r="D163" s="32"/>
      <c r="E163" s="32"/>
      <c r="F163" s="9"/>
      <c r="G163" s="9"/>
      <c r="H163" s="9"/>
      <c r="I163" s="9"/>
      <c r="J163" s="7"/>
    </row>
    <row r="164" spans="1:10">
      <c r="A164" s="44"/>
      <c r="B164" s="9"/>
      <c r="C164" s="32"/>
      <c r="D164" s="32"/>
      <c r="E164" s="32"/>
      <c r="F164" s="9"/>
      <c r="G164" s="9"/>
      <c r="H164" s="9"/>
      <c r="I164" s="9"/>
      <c r="J164" s="7"/>
    </row>
    <row r="165" spans="1:10">
      <c r="A165" s="44"/>
      <c r="B165" s="9"/>
      <c r="C165" s="32"/>
      <c r="D165" s="32"/>
      <c r="E165" s="32"/>
      <c r="F165" s="9"/>
      <c r="G165" s="9"/>
      <c r="H165" s="9"/>
      <c r="I165" s="9"/>
      <c r="J165" s="7"/>
    </row>
    <row r="166" spans="1:10">
      <c r="A166" s="44"/>
      <c r="B166" s="9"/>
      <c r="C166" s="32"/>
      <c r="D166" s="32"/>
      <c r="E166" s="32"/>
      <c r="F166" s="9"/>
      <c r="G166" s="9"/>
      <c r="H166" s="9"/>
      <c r="I166" s="9"/>
      <c r="J166" s="7"/>
    </row>
    <row r="167" spans="1:10">
      <c r="A167" s="44"/>
      <c r="B167" s="9"/>
      <c r="C167" s="32"/>
      <c r="D167" s="32"/>
      <c r="E167" s="32"/>
      <c r="F167" s="9"/>
      <c r="G167" s="9"/>
      <c r="H167" s="9"/>
      <c r="I167" s="9"/>
      <c r="J167" s="7"/>
    </row>
    <row r="168" spans="1:10">
      <c r="A168" s="44"/>
      <c r="B168" s="9"/>
      <c r="C168" s="32"/>
      <c r="D168" s="32"/>
      <c r="E168" s="32"/>
      <c r="F168" s="9"/>
      <c r="G168" s="9"/>
      <c r="H168" s="9"/>
      <c r="I168" s="9"/>
      <c r="J168" s="7"/>
    </row>
    <row r="169" spans="1:10">
      <c r="A169" s="44"/>
      <c r="B169" s="9"/>
      <c r="C169" s="32"/>
      <c r="D169" s="32"/>
      <c r="E169" s="32"/>
      <c r="F169" s="9"/>
      <c r="G169" s="9"/>
      <c r="H169" s="9"/>
      <c r="I169" s="9"/>
      <c r="J169" s="7"/>
    </row>
    <row r="170" spans="1:10">
      <c r="A170" s="44"/>
      <c r="B170" s="9"/>
      <c r="C170" s="32"/>
      <c r="D170" s="32"/>
      <c r="E170" s="32"/>
      <c r="F170" s="9"/>
      <c r="G170" s="9"/>
      <c r="H170" s="9"/>
      <c r="I170" s="9"/>
      <c r="J170" s="7"/>
    </row>
    <row r="171" spans="1:10">
      <c r="A171" s="44"/>
      <c r="B171" s="9"/>
      <c r="C171" s="32"/>
      <c r="D171" s="32"/>
      <c r="E171" s="32"/>
      <c r="F171" s="9"/>
      <c r="G171" s="9"/>
      <c r="H171" s="9"/>
      <c r="I171" s="9"/>
      <c r="J171" s="7"/>
    </row>
    <row r="172" spans="1:10">
      <c r="A172" s="44"/>
      <c r="B172" s="9"/>
      <c r="C172" s="32"/>
      <c r="D172" s="32"/>
      <c r="E172" s="32"/>
      <c r="F172" s="9"/>
      <c r="G172" s="9"/>
      <c r="H172" s="9"/>
      <c r="I172" s="9"/>
      <c r="J172" s="7"/>
    </row>
    <row r="173" spans="1:10">
      <c r="A173" s="44"/>
      <c r="B173" s="9"/>
      <c r="C173" s="32"/>
      <c r="D173" s="32"/>
      <c r="E173" s="32"/>
      <c r="F173" s="9"/>
      <c r="G173" s="9"/>
      <c r="H173" s="9"/>
      <c r="I173" s="9"/>
      <c r="J173" s="7"/>
    </row>
    <row r="174" spans="1:10">
      <c r="A174" s="44"/>
      <c r="B174" s="9"/>
      <c r="C174" s="32"/>
      <c r="D174" s="32"/>
      <c r="E174" s="32"/>
      <c r="F174" s="9"/>
      <c r="G174" s="9"/>
      <c r="H174" s="9"/>
      <c r="I174" s="9"/>
      <c r="J174" s="7"/>
    </row>
  </sheetData>
  <mergeCells count="1">
    <mergeCell ref="A1:J1"/>
  </mergeCells>
  <conditionalFormatting sqref="I3:I174">
    <cfRule type="cellIs" dxfId="3" priority="3" stopIfTrue="1" operator="lessThanOrEqual">
      <formula>0</formula>
    </cfRule>
  </conditionalFormatting>
  <conditionalFormatting sqref="J3:J174">
    <cfRule type="cellIs" dxfId="2" priority="4" stopIfTrue="1" operator="lessThanOr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E677A-B262-4133-AAC5-8AB477F4295A}">
  <sheetPr>
    <tabColor rgb="FF0070C0"/>
  </sheetPr>
  <dimension ref="A1:R203"/>
  <sheetViews>
    <sheetView workbookViewId="0">
      <selection activeCell="E19" sqref="E19"/>
    </sheetView>
  </sheetViews>
  <sheetFormatPr baseColWidth="10" defaultRowHeight="15"/>
  <cols>
    <col min="1" max="1" width="10.42578125" customWidth="1"/>
    <col min="2" max="3" width="9.85546875" customWidth="1"/>
    <col min="4" max="4" width="14.7109375" customWidth="1"/>
    <col min="5" max="5" width="10" customWidth="1"/>
    <col min="6" max="6" width="12" bestFit="1" customWidth="1"/>
    <col min="7" max="7" width="9.85546875" customWidth="1"/>
    <col min="8" max="8" width="12.7109375" customWidth="1"/>
    <col min="9" max="9" width="17.42578125" customWidth="1"/>
    <col min="10" max="10" width="6.85546875" customWidth="1"/>
  </cols>
  <sheetData>
    <row r="1" spans="1:18" ht="15.75" thickBot="1">
      <c r="A1" s="122" t="s">
        <v>72</v>
      </c>
      <c r="B1" s="123"/>
      <c r="C1" s="123"/>
      <c r="D1" s="123"/>
      <c r="E1" s="123"/>
      <c r="F1" s="123"/>
      <c r="G1" s="123"/>
      <c r="H1" s="123"/>
      <c r="I1" s="123"/>
      <c r="J1" s="124"/>
    </row>
    <row r="2" spans="1:18" ht="22.5">
      <c r="A2" s="65" t="s">
        <v>13</v>
      </c>
      <c r="B2" s="65" t="s">
        <v>4</v>
      </c>
      <c r="C2" s="65" t="s">
        <v>73</v>
      </c>
      <c r="D2" s="65" t="s">
        <v>6</v>
      </c>
      <c r="E2" s="65" t="s">
        <v>74</v>
      </c>
      <c r="F2" s="65" t="s">
        <v>75</v>
      </c>
      <c r="G2" s="65" t="s">
        <v>9</v>
      </c>
      <c r="H2" s="65" t="s">
        <v>48</v>
      </c>
      <c r="I2" s="65" t="s">
        <v>10</v>
      </c>
      <c r="J2" s="65" t="s">
        <v>11</v>
      </c>
      <c r="L2" s="66" t="s">
        <v>0</v>
      </c>
      <c r="N2" s="67" t="s">
        <v>47</v>
      </c>
    </row>
    <row r="3" spans="1:18">
      <c r="A3" s="15">
        <v>46113</v>
      </c>
      <c r="B3" s="9">
        <v>130</v>
      </c>
      <c r="C3" s="9">
        <v>1197.769</v>
      </c>
      <c r="D3" s="10"/>
      <c r="E3" s="9">
        <v>0</v>
      </c>
      <c r="F3" s="9">
        <f>+E3</f>
        <v>0</v>
      </c>
      <c r="G3" s="9">
        <f>+B3+C3-E3</f>
        <v>1327.769</v>
      </c>
      <c r="H3" s="9">
        <v>130</v>
      </c>
      <c r="I3" s="9">
        <f>+G3-H3</f>
        <v>1197.769</v>
      </c>
      <c r="J3" s="6" t="e">
        <f t="shared" ref="J3:J15" si="0">+I3/F3*100</f>
        <v>#DIV/0!</v>
      </c>
      <c r="L3" s="68">
        <v>49.981000000000002</v>
      </c>
      <c r="N3">
        <v>22</v>
      </c>
    </row>
    <row r="4" spans="1:18">
      <c r="A4" s="15">
        <v>46114</v>
      </c>
      <c r="B4" s="9">
        <f t="shared" ref="B4:B16" si="1">+G3</f>
        <v>1327.769</v>
      </c>
      <c r="C4" s="46">
        <v>795.54700000000003</v>
      </c>
      <c r="D4" s="56"/>
      <c r="E4" s="9">
        <v>0</v>
      </c>
      <c r="F4" s="9">
        <f>+E4</f>
        <v>0</v>
      </c>
      <c r="G4" s="9">
        <f t="shared" ref="G4:G16" si="2">+G3+C4-E4</f>
        <v>2123.3159999999998</v>
      </c>
      <c r="H4" s="9">
        <v>130</v>
      </c>
      <c r="I4" s="9">
        <f t="shared" ref="I4:I15" si="3">+H4-G4</f>
        <v>-1993.3159999999998</v>
      </c>
      <c r="J4" s="6" t="e">
        <f t="shared" si="0"/>
        <v>#DIV/0!</v>
      </c>
      <c r="L4" s="69">
        <v>58.781999999999996</v>
      </c>
      <c r="N4">
        <v>20</v>
      </c>
    </row>
    <row r="5" spans="1:18">
      <c r="A5" s="15">
        <v>46115</v>
      </c>
      <c r="B5" s="9">
        <f t="shared" si="1"/>
        <v>2123.3159999999998</v>
      </c>
      <c r="C5" s="9">
        <v>701.72699999999998</v>
      </c>
      <c r="D5" s="10"/>
      <c r="E5" s="9">
        <v>0</v>
      </c>
      <c r="F5" s="9">
        <f>+E5</f>
        <v>0</v>
      </c>
      <c r="G5" s="9">
        <f t="shared" si="2"/>
        <v>2825.0429999999997</v>
      </c>
      <c r="H5" s="9">
        <v>0</v>
      </c>
      <c r="I5" s="9">
        <f t="shared" si="3"/>
        <v>-2825.0429999999997</v>
      </c>
      <c r="J5" s="6" t="e">
        <f t="shared" si="0"/>
        <v>#DIV/0!</v>
      </c>
      <c r="L5" s="69">
        <v>67.855000000000004</v>
      </c>
      <c r="N5">
        <v>10</v>
      </c>
      <c r="P5" s="69"/>
      <c r="R5" s="69"/>
    </row>
    <row r="6" spans="1:18">
      <c r="A6" s="15">
        <v>46116</v>
      </c>
      <c r="B6" s="9">
        <f t="shared" si="1"/>
        <v>2825.0429999999997</v>
      </c>
      <c r="C6" s="9">
        <v>575.06299999999999</v>
      </c>
      <c r="D6" s="10"/>
      <c r="E6" s="9">
        <v>0</v>
      </c>
      <c r="F6" s="9">
        <f>+E6</f>
        <v>0</v>
      </c>
      <c r="G6" s="9">
        <f t="shared" si="2"/>
        <v>3400.1059999999998</v>
      </c>
      <c r="H6" s="9">
        <v>0</v>
      </c>
      <c r="I6" s="9">
        <f t="shared" si="3"/>
        <v>-3400.1059999999998</v>
      </c>
      <c r="J6" s="6" t="e">
        <f t="shared" si="0"/>
        <v>#DIV/0!</v>
      </c>
      <c r="L6" s="69">
        <v>69.701999999999998</v>
      </c>
      <c r="N6">
        <v>20</v>
      </c>
      <c r="P6" s="69"/>
    </row>
    <row r="7" spans="1:18">
      <c r="A7" s="15">
        <v>46117</v>
      </c>
      <c r="B7" s="9">
        <f t="shared" si="1"/>
        <v>3400.1059999999998</v>
      </c>
      <c r="C7" s="9">
        <v>640.00300000000004</v>
      </c>
      <c r="D7" s="10"/>
      <c r="E7" s="9">
        <v>3004.3319999999999</v>
      </c>
      <c r="F7" s="9">
        <f>+E7</f>
        <v>3004.3319999999999</v>
      </c>
      <c r="G7" s="9">
        <f t="shared" si="2"/>
        <v>1035.777</v>
      </c>
      <c r="H7" s="9">
        <v>130</v>
      </c>
      <c r="I7" s="9">
        <f t="shared" si="3"/>
        <v>-905.77700000000004</v>
      </c>
      <c r="J7" s="6">
        <f t="shared" si="0"/>
        <v>-30.149031465230873</v>
      </c>
      <c r="L7" s="69">
        <v>74.491</v>
      </c>
      <c r="N7">
        <v>20</v>
      </c>
    </row>
    <row r="8" spans="1:18">
      <c r="A8" s="15">
        <v>46118</v>
      </c>
      <c r="B8" s="9">
        <f t="shared" si="1"/>
        <v>1035.777</v>
      </c>
      <c r="C8" s="46">
        <v>991.4</v>
      </c>
      <c r="D8" s="10"/>
      <c r="E8" s="9">
        <v>261.05700000000002</v>
      </c>
      <c r="F8" s="9">
        <f t="shared" ref="F8:F16" si="4">+F7+E8</f>
        <v>3265.3890000000001</v>
      </c>
      <c r="G8" s="9">
        <f t="shared" si="2"/>
        <v>1766.1200000000001</v>
      </c>
      <c r="H8" s="9">
        <v>255</v>
      </c>
      <c r="I8" s="9">
        <f t="shared" si="3"/>
        <v>-1511.1200000000001</v>
      </c>
      <c r="J8" s="6">
        <f t="shared" si="0"/>
        <v>-46.276875435055366</v>
      </c>
      <c r="L8" s="69">
        <v>41.603999999999999</v>
      </c>
      <c r="N8">
        <v>15</v>
      </c>
      <c r="P8" s="69"/>
    </row>
    <row r="9" spans="1:18">
      <c r="A9" s="15">
        <v>46119</v>
      </c>
      <c r="B9" s="9">
        <f t="shared" si="1"/>
        <v>1766.1200000000001</v>
      </c>
      <c r="C9" s="9">
        <v>1065.386</v>
      </c>
      <c r="D9" s="10"/>
      <c r="E9" s="9">
        <v>636.68200000000002</v>
      </c>
      <c r="F9" s="9">
        <f t="shared" si="4"/>
        <v>3902.0709999999999</v>
      </c>
      <c r="G9" s="9">
        <f t="shared" si="2"/>
        <v>2194.8240000000005</v>
      </c>
      <c r="H9" s="9">
        <v>255</v>
      </c>
      <c r="I9" s="9">
        <f t="shared" si="3"/>
        <v>-1939.8240000000005</v>
      </c>
      <c r="J9" s="6">
        <f t="shared" si="0"/>
        <v>-49.712678216260045</v>
      </c>
      <c r="L9" s="69">
        <v>89.037999999999997</v>
      </c>
      <c r="N9">
        <v>20</v>
      </c>
    </row>
    <row r="10" spans="1:18">
      <c r="A10" s="15">
        <v>46120</v>
      </c>
      <c r="B10" s="9">
        <f t="shared" si="1"/>
        <v>2194.8240000000005</v>
      </c>
      <c r="C10" s="9">
        <v>336.78800000000001</v>
      </c>
      <c r="D10" s="10"/>
      <c r="E10" s="9">
        <v>612.77499999999998</v>
      </c>
      <c r="F10" s="9">
        <f t="shared" si="4"/>
        <v>4514.8459999999995</v>
      </c>
      <c r="G10" s="9">
        <f t="shared" si="2"/>
        <v>1918.8370000000004</v>
      </c>
      <c r="H10" s="9">
        <v>255</v>
      </c>
      <c r="I10" s="9">
        <f t="shared" si="3"/>
        <v>-1663.8370000000004</v>
      </c>
      <c r="J10" s="6">
        <f t="shared" si="0"/>
        <v>-36.852574816505381</v>
      </c>
      <c r="L10" s="69">
        <v>33.488</v>
      </c>
      <c r="N10">
        <v>20</v>
      </c>
    </row>
    <row r="11" spans="1:18">
      <c r="A11" s="15">
        <v>46121</v>
      </c>
      <c r="B11" s="9">
        <f t="shared" si="1"/>
        <v>1918.8370000000004</v>
      </c>
      <c r="C11" s="46">
        <v>1138.6310000000001</v>
      </c>
      <c r="D11" s="10"/>
      <c r="E11" s="9">
        <v>712.21100000000001</v>
      </c>
      <c r="F11" s="9">
        <f t="shared" si="4"/>
        <v>5227.0569999999998</v>
      </c>
      <c r="G11" s="9">
        <f t="shared" si="2"/>
        <v>2345.2570000000005</v>
      </c>
      <c r="H11" s="9"/>
      <c r="I11" s="9">
        <f t="shared" si="3"/>
        <v>-2345.2570000000005</v>
      </c>
      <c r="J11" s="6">
        <f t="shared" si="0"/>
        <v>-44.867637754859011</v>
      </c>
      <c r="L11" s="69">
        <v>76.775999999999996</v>
      </c>
      <c r="N11">
        <v>20</v>
      </c>
    </row>
    <row r="12" spans="1:18">
      <c r="A12" s="15">
        <v>46122</v>
      </c>
      <c r="B12" s="9">
        <f t="shared" si="1"/>
        <v>2345.2570000000005</v>
      </c>
      <c r="C12" s="9">
        <v>871.22400000000005</v>
      </c>
      <c r="D12" s="10"/>
      <c r="E12" s="9">
        <v>575.97900000000004</v>
      </c>
      <c r="F12" s="9">
        <f t="shared" si="4"/>
        <v>5803.0360000000001</v>
      </c>
      <c r="G12" s="9">
        <f t="shared" si="2"/>
        <v>2640.5020000000004</v>
      </c>
      <c r="H12" s="9"/>
      <c r="I12" s="9">
        <f t="shared" si="3"/>
        <v>-2640.5020000000004</v>
      </c>
      <c r="J12" s="6">
        <f t="shared" si="0"/>
        <v>-45.502078567150029</v>
      </c>
      <c r="L12" s="69">
        <v>48.735999999999997</v>
      </c>
      <c r="N12">
        <v>20</v>
      </c>
      <c r="P12" s="69"/>
    </row>
    <row r="13" spans="1:18">
      <c r="A13" s="15">
        <v>46123</v>
      </c>
      <c r="B13" s="9">
        <f t="shared" si="1"/>
        <v>2640.5020000000004</v>
      </c>
      <c r="C13" s="9">
        <v>1547.3579999999999</v>
      </c>
      <c r="D13" s="10"/>
      <c r="E13" s="9">
        <v>914.62300000000005</v>
      </c>
      <c r="F13" s="9">
        <f t="shared" si="4"/>
        <v>6717.6589999999997</v>
      </c>
      <c r="G13" s="9">
        <f t="shared" si="2"/>
        <v>3273.2370000000005</v>
      </c>
      <c r="H13" s="9"/>
      <c r="I13" s="9">
        <f t="shared" si="3"/>
        <v>-3273.2370000000005</v>
      </c>
      <c r="J13" s="6">
        <f t="shared" si="0"/>
        <v>-48.725858219358869</v>
      </c>
      <c r="L13" s="69">
        <v>78.665000000000006</v>
      </c>
      <c r="N13">
        <v>20</v>
      </c>
    </row>
    <row r="14" spans="1:18">
      <c r="A14" s="15">
        <v>46124</v>
      </c>
      <c r="B14" s="9">
        <f t="shared" si="1"/>
        <v>3273.2370000000005</v>
      </c>
      <c r="C14" s="46">
        <v>31.167000000000002</v>
      </c>
      <c r="D14" s="10"/>
      <c r="E14" s="9">
        <v>608.34199999999998</v>
      </c>
      <c r="F14" s="9">
        <f t="shared" si="4"/>
        <v>7326.0009999999993</v>
      </c>
      <c r="G14" s="9">
        <f t="shared" si="2"/>
        <v>2696.0620000000004</v>
      </c>
      <c r="H14" s="9"/>
      <c r="I14" s="9">
        <f t="shared" si="3"/>
        <v>-2696.0620000000004</v>
      </c>
      <c r="J14" s="6">
        <f t="shared" si="0"/>
        <v>-36.801278077903625</v>
      </c>
      <c r="L14" s="69">
        <v>106.82</v>
      </c>
      <c r="N14">
        <v>20</v>
      </c>
    </row>
    <row r="15" spans="1:18">
      <c r="A15" s="15">
        <v>46125</v>
      </c>
      <c r="B15" s="9">
        <f t="shared" si="1"/>
        <v>2696.0620000000004</v>
      </c>
      <c r="C15" s="9">
        <v>525.00300000000004</v>
      </c>
      <c r="D15" s="10"/>
      <c r="E15" s="9">
        <v>329.77</v>
      </c>
      <c r="F15" s="9">
        <f t="shared" si="4"/>
        <v>7655.7709999999988</v>
      </c>
      <c r="G15" s="9">
        <f t="shared" si="2"/>
        <v>2891.2950000000005</v>
      </c>
      <c r="H15" s="9">
        <v>200</v>
      </c>
      <c r="I15" s="9">
        <f t="shared" si="3"/>
        <v>-2691.2950000000005</v>
      </c>
      <c r="J15" s="6">
        <f t="shared" si="0"/>
        <v>-35.15380750025048</v>
      </c>
      <c r="L15" s="69">
        <v>39.529000000000003</v>
      </c>
      <c r="N15">
        <v>20</v>
      </c>
    </row>
    <row r="16" spans="1:18">
      <c r="A16" s="15">
        <v>46126</v>
      </c>
      <c r="B16" s="9">
        <f t="shared" si="1"/>
        <v>2891.2950000000005</v>
      </c>
      <c r="C16" s="9">
        <v>589.86300000000006</v>
      </c>
      <c r="D16" s="10"/>
      <c r="E16" s="9">
        <v>497.18200000000002</v>
      </c>
      <c r="F16" s="9">
        <f t="shared" si="4"/>
        <v>8152.9529999999986</v>
      </c>
      <c r="G16" s="9">
        <f t="shared" si="2"/>
        <v>2983.9760000000006</v>
      </c>
      <c r="H16" s="9"/>
      <c r="I16" s="9"/>
      <c r="J16" s="7"/>
      <c r="L16" s="69">
        <v>30.164999999999999</v>
      </c>
    </row>
    <row r="17" spans="1:12">
      <c r="A17" s="15"/>
      <c r="B17" s="9"/>
      <c r="C17" s="9"/>
      <c r="D17" s="10"/>
      <c r="E17" s="9"/>
      <c r="F17" s="9"/>
      <c r="G17" s="9"/>
      <c r="H17" s="9"/>
      <c r="I17" s="9"/>
      <c r="J17" s="7"/>
      <c r="L17" s="69">
        <v>51.19</v>
      </c>
    </row>
    <row r="18" spans="1:12">
      <c r="A18" s="15"/>
      <c r="B18" s="9"/>
      <c r="C18" s="46"/>
      <c r="D18" s="10"/>
      <c r="E18" s="9"/>
      <c r="F18" s="9"/>
      <c r="G18" s="9"/>
      <c r="H18" s="9"/>
      <c r="I18" s="9"/>
      <c r="J18" s="7"/>
      <c r="L18" s="69">
        <v>37.975999999999999</v>
      </c>
    </row>
    <row r="19" spans="1:12">
      <c r="A19" s="15"/>
      <c r="B19" s="9"/>
      <c r="C19" s="9"/>
      <c r="D19" s="10"/>
      <c r="E19" s="9"/>
      <c r="F19" s="9"/>
      <c r="G19" s="9"/>
      <c r="H19" s="9"/>
      <c r="I19" s="9"/>
      <c r="J19" s="7"/>
      <c r="L19" s="69">
        <v>98.426000000000002</v>
      </c>
    </row>
    <row r="20" spans="1:12">
      <c r="A20" s="15"/>
      <c r="B20" s="9"/>
      <c r="C20" s="9"/>
      <c r="D20" s="10"/>
      <c r="E20" s="9"/>
      <c r="F20" s="9"/>
      <c r="G20" s="9"/>
      <c r="H20" s="9"/>
      <c r="I20" s="9"/>
      <c r="J20" s="7"/>
      <c r="L20" s="69">
        <v>44.207000000000001</v>
      </c>
    </row>
    <row r="21" spans="1:12">
      <c r="A21" s="15"/>
      <c r="B21" s="9"/>
      <c r="C21" s="9"/>
      <c r="D21" s="10"/>
      <c r="E21" s="9"/>
      <c r="F21" s="9"/>
      <c r="G21" s="9"/>
      <c r="H21" s="9"/>
      <c r="I21" s="9"/>
      <c r="J21" s="7"/>
      <c r="L21" s="69">
        <v>26.832999999999998</v>
      </c>
    </row>
    <row r="22" spans="1:12">
      <c r="A22" s="15"/>
      <c r="B22" s="9"/>
      <c r="C22" s="9"/>
      <c r="D22" s="10"/>
      <c r="E22" s="9"/>
      <c r="F22" s="9"/>
      <c r="G22" s="9"/>
      <c r="H22" s="9"/>
      <c r="I22" s="9"/>
      <c r="J22" s="7"/>
      <c r="L22" s="69">
        <v>56.206000000000003</v>
      </c>
    </row>
    <row r="23" spans="1:12">
      <c r="A23" s="15"/>
      <c r="B23" s="9"/>
      <c r="C23" s="46"/>
      <c r="D23" s="10"/>
      <c r="E23" s="9"/>
      <c r="F23" s="9"/>
      <c r="G23" s="9"/>
      <c r="H23" s="9"/>
      <c r="I23" s="9"/>
      <c r="J23" s="7"/>
      <c r="L23" s="69">
        <v>14.57</v>
      </c>
    </row>
    <row r="24" spans="1:12">
      <c r="A24" s="15"/>
      <c r="B24" s="9"/>
      <c r="C24" s="9"/>
      <c r="D24" s="10"/>
      <c r="E24" s="9"/>
      <c r="F24" s="9"/>
      <c r="G24" s="9"/>
      <c r="H24" s="9"/>
      <c r="I24" s="9"/>
      <c r="J24" s="7"/>
      <c r="L24" s="69">
        <v>54.055999999999997</v>
      </c>
    </row>
    <row r="25" spans="1:12">
      <c r="A25" s="15"/>
      <c r="B25" s="9"/>
      <c r="C25" s="9"/>
      <c r="D25" s="10"/>
      <c r="E25" s="9"/>
      <c r="F25" s="9"/>
      <c r="G25" s="9"/>
      <c r="H25" s="9"/>
      <c r="I25" s="9"/>
      <c r="J25" s="7"/>
      <c r="L25" s="69">
        <v>14.461</v>
      </c>
    </row>
    <row r="26" spans="1:12">
      <c r="A26" s="15"/>
      <c r="B26" s="9"/>
      <c r="C26" s="9"/>
      <c r="D26" s="10"/>
      <c r="E26" s="9"/>
      <c r="F26" s="9"/>
      <c r="G26" s="9"/>
      <c r="H26" s="9"/>
      <c r="I26" s="9"/>
      <c r="J26" s="7"/>
      <c r="L26" s="69">
        <v>16.823</v>
      </c>
    </row>
    <row r="27" spans="1:12">
      <c r="A27" s="15"/>
      <c r="B27" s="9"/>
      <c r="C27" s="9"/>
      <c r="D27" s="10"/>
      <c r="E27" s="9"/>
      <c r="F27" s="9"/>
      <c r="G27" s="9"/>
      <c r="H27" s="9"/>
      <c r="I27" s="9"/>
      <c r="J27" s="7"/>
      <c r="L27" s="69">
        <v>14.632999999999999</v>
      </c>
    </row>
    <row r="28" spans="1:12">
      <c r="A28" s="15"/>
      <c r="B28" s="9"/>
      <c r="C28" s="9"/>
      <c r="D28" s="10"/>
      <c r="E28" s="9"/>
      <c r="F28" s="9"/>
      <c r="G28" s="9"/>
      <c r="H28" s="9"/>
      <c r="I28" s="9"/>
      <c r="J28" s="7"/>
      <c r="L28" s="69">
        <v>67.236999999999995</v>
      </c>
    </row>
    <row r="29" spans="1:12">
      <c r="A29" s="16"/>
      <c r="B29" s="9"/>
      <c r="C29" s="9"/>
      <c r="D29" s="10"/>
      <c r="E29" s="9"/>
      <c r="F29" s="9"/>
      <c r="G29" s="9"/>
      <c r="H29" s="9"/>
      <c r="I29" s="9"/>
      <c r="J29" s="7"/>
      <c r="L29" s="69">
        <v>63.448999999999998</v>
      </c>
    </row>
    <row r="30" spans="1:12">
      <c r="A30" s="16"/>
      <c r="B30" s="9"/>
      <c r="C30" s="9"/>
      <c r="D30" s="10"/>
      <c r="E30" s="9"/>
      <c r="F30" s="9"/>
      <c r="G30" s="9"/>
      <c r="H30" s="9"/>
      <c r="I30" s="9"/>
      <c r="J30" s="7"/>
      <c r="L30" s="69">
        <v>85.555999999999997</v>
      </c>
    </row>
    <row r="31" spans="1:12">
      <c r="A31" s="16"/>
      <c r="B31" s="9"/>
      <c r="C31" s="9"/>
      <c r="D31" s="10"/>
      <c r="E31" s="9"/>
      <c r="F31" s="9"/>
      <c r="G31" s="9"/>
      <c r="H31" s="9"/>
      <c r="I31" s="9"/>
      <c r="J31" s="7"/>
      <c r="L31" s="69">
        <v>95.709000000000003</v>
      </c>
    </row>
    <row r="32" spans="1:12">
      <c r="A32" s="16"/>
      <c r="B32" s="9"/>
      <c r="C32" s="46"/>
      <c r="D32" s="10"/>
      <c r="E32" s="9"/>
      <c r="F32" s="9"/>
      <c r="G32" s="9"/>
      <c r="H32" s="9"/>
      <c r="I32" s="9"/>
      <c r="J32" s="7"/>
      <c r="L32" s="69">
        <v>26.132000000000001</v>
      </c>
    </row>
    <row r="33" spans="1:12">
      <c r="A33" s="16"/>
      <c r="B33" s="9"/>
      <c r="C33" s="9"/>
      <c r="D33" s="10"/>
      <c r="E33" s="9"/>
      <c r="F33" s="9"/>
      <c r="G33" s="9"/>
      <c r="H33" s="9"/>
      <c r="I33" s="9"/>
      <c r="J33" s="7"/>
      <c r="L33" s="69">
        <v>34.603000000000002</v>
      </c>
    </row>
    <row r="34" spans="1:12">
      <c r="A34" s="16"/>
      <c r="B34" s="9"/>
      <c r="C34" s="31"/>
      <c r="D34" s="31"/>
      <c r="E34" s="31"/>
      <c r="F34" s="9"/>
      <c r="G34" s="9"/>
      <c r="H34" s="9"/>
      <c r="I34" s="9"/>
      <c r="J34" s="7"/>
      <c r="L34" s="69">
        <v>6.2329999999999997</v>
      </c>
    </row>
    <row r="35" spans="1:12">
      <c r="A35" s="35"/>
      <c r="B35" s="9"/>
      <c r="C35" s="47"/>
      <c r="D35" s="32"/>
      <c r="E35" s="32"/>
      <c r="F35" s="9"/>
      <c r="G35" s="9"/>
      <c r="H35" s="9"/>
      <c r="I35" s="9"/>
      <c r="J35" s="7"/>
      <c r="L35" s="69">
        <v>64.787000000000006</v>
      </c>
    </row>
    <row r="36" spans="1:12">
      <c r="A36" s="35"/>
      <c r="B36" s="9"/>
      <c r="C36" s="32"/>
      <c r="D36" s="32"/>
      <c r="E36" s="32"/>
      <c r="F36" s="9"/>
      <c r="G36" s="9"/>
      <c r="H36" s="9"/>
      <c r="I36" s="9"/>
      <c r="J36" s="7"/>
      <c r="L36" s="69">
        <v>58.648000000000003</v>
      </c>
    </row>
    <row r="37" spans="1:12">
      <c r="A37" s="35"/>
      <c r="B37" s="9"/>
      <c r="C37" s="47"/>
      <c r="D37" s="32"/>
      <c r="E37" s="32"/>
      <c r="F37" s="9"/>
      <c r="G37" s="9"/>
      <c r="H37" s="9"/>
      <c r="I37" s="9"/>
      <c r="J37" s="7"/>
      <c r="L37" s="69">
        <v>33.244</v>
      </c>
    </row>
    <row r="38" spans="1:12">
      <c r="A38" s="35"/>
      <c r="B38" s="9"/>
      <c r="C38" s="47"/>
      <c r="D38" s="32"/>
      <c r="E38" s="32"/>
      <c r="F38" s="9"/>
      <c r="G38" s="9"/>
      <c r="H38" s="9"/>
      <c r="I38" s="9"/>
      <c r="J38" s="7"/>
      <c r="L38" s="69">
        <v>24.907</v>
      </c>
    </row>
    <row r="39" spans="1:12">
      <c r="A39" s="35"/>
      <c r="B39" s="9"/>
      <c r="C39" s="32"/>
      <c r="D39" s="32"/>
      <c r="E39" s="32"/>
      <c r="F39" s="9"/>
      <c r="G39" s="9"/>
      <c r="H39" s="9"/>
      <c r="I39" s="9"/>
      <c r="J39" s="7"/>
      <c r="L39" s="69">
        <v>67.787999999999997</v>
      </c>
    </row>
    <row r="40" spans="1:12">
      <c r="A40" s="35"/>
      <c r="B40" s="9"/>
      <c r="C40" s="47"/>
      <c r="D40" s="32"/>
      <c r="E40" s="32"/>
      <c r="F40" s="9"/>
      <c r="G40" s="9"/>
      <c r="H40" s="9"/>
      <c r="I40" s="9"/>
      <c r="J40" s="7"/>
      <c r="L40" s="69">
        <v>81.540000000000006</v>
      </c>
    </row>
    <row r="41" spans="1:12">
      <c r="A41" s="35"/>
      <c r="B41" s="9"/>
      <c r="C41" s="32"/>
      <c r="D41" s="32"/>
      <c r="E41" s="32"/>
      <c r="F41" s="9"/>
      <c r="G41" s="9"/>
      <c r="H41" s="9"/>
      <c r="I41" s="9"/>
      <c r="J41" s="7"/>
      <c r="L41" s="69">
        <v>27.998999999999999</v>
      </c>
    </row>
    <row r="42" spans="1:12">
      <c r="A42" s="35"/>
      <c r="B42" s="9"/>
      <c r="C42" s="32"/>
      <c r="D42" s="32"/>
      <c r="E42" s="32"/>
      <c r="F42" s="9"/>
      <c r="G42" s="9"/>
      <c r="H42" s="9"/>
      <c r="I42" s="9"/>
      <c r="J42" s="7"/>
      <c r="L42" s="69">
        <v>21.103000000000002</v>
      </c>
    </row>
    <row r="43" spans="1:12">
      <c r="A43" s="35"/>
      <c r="B43" s="9"/>
      <c r="C43" s="32"/>
      <c r="D43" s="32"/>
      <c r="E43" s="32"/>
      <c r="F43" s="9"/>
      <c r="G43" s="9"/>
      <c r="H43" s="9"/>
      <c r="I43" s="9"/>
      <c r="J43" s="7"/>
      <c r="L43" s="69">
        <v>71.457999999999998</v>
      </c>
    </row>
    <row r="44" spans="1:12">
      <c r="A44" s="35"/>
      <c r="B44" s="9"/>
      <c r="C44" s="32"/>
      <c r="D44" s="32"/>
      <c r="E44" s="32"/>
      <c r="F44" s="9"/>
      <c r="G44" s="9"/>
      <c r="H44" s="9"/>
      <c r="I44" s="9"/>
      <c r="J44" s="7"/>
      <c r="L44" s="69">
        <v>108.19</v>
      </c>
    </row>
    <row r="45" spans="1:12">
      <c r="A45" s="35"/>
      <c r="B45" s="9"/>
      <c r="C45" s="47"/>
      <c r="D45" s="32"/>
      <c r="E45" s="32"/>
      <c r="F45" s="9"/>
      <c r="G45" s="9"/>
      <c r="H45" s="9"/>
      <c r="I45" s="9"/>
      <c r="J45" s="7"/>
      <c r="L45" s="69">
        <v>52.261000000000003</v>
      </c>
    </row>
    <row r="46" spans="1:12">
      <c r="A46" s="35"/>
      <c r="B46" s="9"/>
      <c r="C46" s="32"/>
      <c r="D46" s="32"/>
      <c r="E46" s="32"/>
      <c r="F46" s="9"/>
      <c r="G46" s="9"/>
      <c r="H46" s="9"/>
      <c r="I46" s="9"/>
      <c r="J46" s="7"/>
      <c r="L46" s="69">
        <v>17.524000000000001</v>
      </c>
    </row>
    <row r="47" spans="1:12">
      <c r="A47" s="35"/>
      <c r="B47" s="9"/>
      <c r="C47" s="32"/>
      <c r="D47" s="32"/>
      <c r="E47" s="32"/>
      <c r="F47" s="9"/>
      <c r="G47" s="9"/>
      <c r="H47" s="9"/>
      <c r="I47" s="9"/>
      <c r="J47" s="7"/>
      <c r="L47" s="69">
        <v>26.82</v>
      </c>
    </row>
    <row r="48" spans="1:12">
      <c r="A48" s="35"/>
      <c r="B48" s="9"/>
      <c r="C48" s="32"/>
      <c r="D48" s="32"/>
      <c r="E48" s="32"/>
      <c r="F48" s="9"/>
      <c r="G48" s="9"/>
      <c r="H48" s="9"/>
      <c r="I48" s="9"/>
      <c r="J48" s="7"/>
      <c r="L48" s="69">
        <v>40.095999999999997</v>
      </c>
    </row>
    <row r="49" spans="1:12">
      <c r="A49" s="35"/>
      <c r="B49" s="9"/>
      <c r="C49" s="32"/>
      <c r="D49" s="32"/>
      <c r="E49" s="32"/>
      <c r="F49" s="9"/>
      <c r="G49" s="9"/>
      <c r="H49" s="9"/>
      <c r="I49" s="9"/>
      <c r="J49" s="7"/>
      <c r="L49" s="69">
        <v>24.966000000000001</v>
      </c>
    </row>
    <row r="50" spans="1:12">
      <c r="A50" s="35"/>
      <c r="B50" s="9"/>
      <c r="C50" s="47"/>
      <c r="D50" s="32"/>
      <c r="E50" s="32"/>
      <c r="F50" s="9"/>
      <c r="G50" s="9"/>
      <c r="H50" s="9"/>
      <c r="I50" s="9"/>
      <c r="J50" s="7"/>
      <c r="L50" s="69">
        <v>62.350999999999999</v>
      </c>
    </row>
    <row r="51" spans="1:12">
      <c r="A51" s="35"/>
      <c r="B51" s="9"/>
      <c r="C51" s="32"/>
      <c r="D51" s="32"/>
      <c r="E51" s="32"/>
      <c r="F51" s="9"/>
      <c r="G51" s="9"/>
      <c r="H51" s="9"/>
      <c r="I51" s="9"/>
      <c r="J51" s="7"/>
      <c r="L51" s="69">
        <v>78.665000000000006</v>
      </c>
    </row>
    <row r="52" spans="1:12">
      <c r="A52" s="35"/>
      <c r="B52" s="9"/>
      <c r="C52" s="47"/>
      <c r="D52" s="32"/>
      <c r="E52" s="32"/>
      <c r="F52" s="9"/>
      <c r="G52" s="9"/>
      <c r="H52" s="9"/>
      <c r="I52" s="9"/>
      <c r="J52" s="7"/>
      <c r="L52" s="69">
        <v>42.186999999999998</v>
      </c>
    </row>
    <row r="53" spans="1:12">
      <c r="A53" s="35"/>
      <c r="B53" s="9"/>
      <c r="C53" s="32"/>
      <c r="D53" s="32"/>
      <c r="E53" s="32"/>
      <c r="F53" s="9"/>
      <c r="G53" s="9"/>
      <c r="H53" s="9"/>
      <c r="I53" s="9"/>
      <c r="J53" s="7"/>
      <c r="L53" s="69">
        <v>40.923000000000002</v>
      </c>
    </row>
    <row r="54" spans="1:12">
      <c r="A54" s="35"/>
      <c r="B54" s="9"/>
      <c r="C54" s="32"/>
      <c r="D54" s="32"/>
      <c r="E54" s="32"/>
      <c r="F54" s="9"/>
      <c r="G54" s="9"/>
      <c r="H54" s="9"/>
      <c r="I54" s="9"/>
      <c r="J54" s="7"/>
      <c r="L54" s="69">
        <v>20.166</v>
      </c>
    </row>
    <row r="55" spans="1:12">
      <c r="A55" s="35"/>
      <c r="B55" s="9"/>
      <c r="C55" s="32"/>
      <c r="D55" s="32"/>
      <c r="E55" s="32"/>
      <c r="F55" s="9"/>
      <c r="G55" s="9"/>
      <c r="H55" s="9"/>
      <c r="I55" s="9"/>
      <c r="J55" s="7"/>
      <c r="L55" s="69">
        <v>42.521999999999998</v>
      </c>
    </row>
    <row r="56" spans="1:12">
      <c r="A56" s="35"/>
      <c r="B56" s="9"/>
      <c r="C56" s="47"/>
      <c r="D56" s="32"/>
      <c r="E56" s="32"/>
      <c r="F56" s="9"/>
      <c r="G56" s="9"/>
      <c r="H56" s="9"/>
      <c r="I56" s="9"/>
      <c r="J56" s="7"/>
      <c r="L56" s="69">
        <v>12.912000000000001</v>
      </c>
    </row>
    <row r="57" spans="1:12">
      <c r="A57" s="35"/>
      <c r="B57" s="9"/>
      <c r="C57" s="32"/>
      <c r="D57" s="32"/>
      <c r="E57" s="32"/>
      <c r="F57" s="9"/>
      <c r="G57" s="9"/>
      <c r="H57" s="9"/>
      <c r="I57" s="9"/>
      <c r="J57" s="7"/>
      <c r="L57" s="69">
        <v>71.599999999999994</v>
      </c>
    </row>
    <row r="58" spans="1:12">
      <c r="A58" s="35"/>
      <c r="B58" s="9"/>
      <c r="C58" s="32"/>
      <c r="D58" s="32"/>
      <c r="E58" s="32"/>
      <c r="F58" s="9"/>
      <c r="G58" s="9"/>
      <c r="H58" s="9"/>
      <c r="I58" s="9"/>
      <c r="J58" s="7"/>
      <c r="L58" s="69">
        <v>35.969000000000001</v>
      </c>
    </row>
    <row r="59" spans="1:12">
      <c r="A59" s="35"/>
      <c r="B59" s="9"/>
      <c r="C59" s="47"/>
      <c r="D59" s="32"/>
      <c r="E59" s="32"/>
      <c r="F59" s="9"/>
      <c r="G59" s="9"/>
      <c r="H59" s="9"/>
      <c r="I59" s="9"/>
      <c r="J59" s="7"/>
      <c r="L59" s="69">
        <v>19.879000000000001</v>
      </c>
    </row>
    <row r="60" spans="1:12">
      <c r="A60" s="35"/>
      <c r="B60" s="9"/>
      <c r="C60" s="32"/>
      <c r="D60" s="32"/>
      <c r="E60" s="32"/>
      <c r="F60" s="9"/>
      <c r="G60" s="9"/>
      <c r="H60" s="9"/>
      <c r="I60" s="9"/>
      <c r="J60" s="7"/>
      <c r="L60" s="69">
        <v>51.786000000000001</v>
      </c>
    </row>
    <row r="61" spans="1:12">
      <c r="A61" s="35"/>
      <c r="B61" s="9"/>
      <c r="C61" s="32"/>
      <c r="D61" s="32"/>
      <c r="E61" s="32"/>
      <c r="F61" s="9"/>
      <c r="G61" s="9"/>
      <c r="H61" s="9"/>
      <c r="I61" s="9"/>
      <c r="J61" s="7"/>
      <c r="L61" s="69">
        <v>37.232999999999997</v>
      </c>
    </row>
    <row r="62" spans="1:12">
      <c r="A62" s="35"/>
      <c r="B62" s="9"/>
      <c r="C62" s="32"/>
      <c r="D62" s="32"/>
      <c r="E62" s="32"/>
      <c r="F62" s="9"/>
      <c r="G62" s="9"/>
      <c r="H62" s="9"/>
      <c r="I62" s="9"/>
      <c r="J62" s="7"/>
      <c r="L62" s="69">
        <v>92.876000000000005</v>
      </c>
    </row>
    <row r="63" spans="1:12">
      <c r="A63" s="35"/>
      <c r="B63" s="9"/>
      <c r="C63" s="47"/>
      <c r="D63" s="32"/>
      <c r="E63" s="32"/>
      <c r="F63" s="9"/>
      <c r="G63" s="9"/>
      <c r="H63" s="9"/>
      <c r="I63" s="9"/>
      <c r="J63" s="7"/>
      <c r="L63" s="70">
        <f>SUM(L3:L62)</f>
        <v>3004.3320000000003</v>
      </c>
    </row>
    <row r="64" spans="1:12">
      <c r="A64" s="35"/>
      <c r="B64" s="9"/>
      <c r="C64" s="32"/>
      <c r="D64" s="32"/>
      <c r="E64" s="32"/>
      <c r="F64" s="9"/>
      <c r="G64" s="9"/>
      <c r="H64" s="9"/>
      <c r="I64" s="9"/>
      <c r="J64" s="7"/>
    </row>
    <row r="65" spans="1:12">
      <c r="A65" s="35"/>
      <c r="B65" s="9"/>
      <c r="C65" s="32"/>
      <c r="D65" s="32"/>
      <c r="E65" s="32"/>
      <c r="F65" s="9"/>
      <c r="G65" s="9"/>
      <c r="H65" s="9"/>
      <c r="I65" s="9"/>
      <c r="J65" s="7"/>
      <c r="L65" s="69">
        <v>35.902000000000001</v>
      </c>
    </row>
    <row r="66" spans="1:12">
      <c r="A66" s="35"/>
      <c r="B66" s="9"/>
      <c r="C66" s="32"/>
      <c r="D66" s="32"/>
      <c r="E66" s="32"/>
      <c r="F66" s="9"/>
      <c r="G66" s="9"/>
      <c r="H66" s="9"/>
      <c r="I66" s="9"/>
      <c r="J66" s="7"/>
      <c r="L66" s="69">
        <v>35.465000000000003</v>
      </c>
    </row>
    <row r="67" spans="1:12">
      <c r="A67" s="35"/>
      <c r="B67" s="9"/>
      <c r="C67" s="32"/>
      <c r="D67" s="32"/>
      <c r="E67" s="32"/>
      <c r="F67" s="9"/>
      <c r="G67" s="9"/>
      <c r="H67" s="9"/>
      <c r="I67" s="9"/>
      <c r="J67" s="7"/>
      <c r="L67" s="69">
        <v>8.0649999999999995</v>
      </c>
    </row>
    <row r="68" spans="1:12">
      <c r="A68" s="35"/>
      <c r="B68" s="9"/>
      <c r="C68" s="32"/>
      <c r="D68" s="32"/>
      <c r="E68" s="32"/>
      <c r="F68" s="9"/>
      <c r="G68" s="9"/>
      <c r="H68" s="9"/>
      <c r="I68" s="9"/>
      <c r="J68" s="7"/>
      <c r="L68" s="69">
        <v>23.745999999999999</v>
      </c>
    </row>
    <row r="69" spans="1:12">
      <c r="A69" s="35"/>
      <c r="B69" s="9"/>
      <c r="C69" s="47"/>
      <c r="D69" s="32"/>
      <c r="E69" s="32"/>
      <c r="F69" s="9"/>
      <c r="G69" s="9"/>
      <c r="H69" s="9"/>
      <c r="I69" s="9"/>
      <c r="J69" s="7"/>
      <c r="L69" s="69">
        <v>37.673999999999999</v>
      </c>
    </row>
    <row r="70" spans="1:12">
      <c r="A70" s="35"/>
      <c r="B70" s="9"/>
      <c r="C70" s="32"/>
      <c r="D70" s="32"/>
      <c r="E70" s="32"/>
      <c r="F70" s="9"/>
      <c r="G70" s="9"/>
      <c r="H70" s="9"/>
      <c r="I70" s="9"/>
      <c r="J70" s="7"/>
      <c r="L70" s="69">
        <v>78.003</v>
      </c>
    </row>
    <row r="71" spans="1:12">
      <c r="A71" s="35"/>
      <c r="B71" s="9"/>
      <c r="C71" s="32"/>
      <c r="D71" s="32"/>
      <c r="E71" s="32"/>
      <c r="F71" s="9"/>
      <c r="G71" s="9"/>
      <c r="H71" s="9"/>
      <c r="I71" s="9"/>
      <c r="J71" s="7"/>
      <c r="L71" s="69">
        <v>24.713999999999999</v>
      </c>
    </row>
    <row r="72" spans="1:12">
      <c r="A72" s="35"/>
      <c r="B72" s="9"/>
      <c r="C72" s="32"/>
      <c r="D72" s="32"/>
      <c r="E72" s="32"/>
      <c r="F72" s="9"/>
      <c r="G72" s="9"/>
      <c r="H72" s="9"/>
      <c r="I72" s="9"/>
      <c r="J72" s="7"/>
      <c r="L72" s="69">
        <v>17.488</v>
      </c>
    </row>
    <row r="73" spans="1:12">
      <c r="A73" s="35"/>
      <c r="B73" s="9"/>
      <c r="C73" s="47"/>
      <c r="D73" s="32"/>
      <c r="E73" s="32"/>
      <c r="F73" s="9"/>
      <c r="G73" s="9"/>
      <c r="H73" s="9"/>
      <c r="I73" s="9"/>
      <c r="J73" s="7"/>
      <c r="L73" s="69"/>
    </row>
    <row r="74" spans="1:12">
      <c r="A74" s="35"/>
      <c r="B74" s="9"/>
      <c r="C74" s="32"/>
      <c r="D74" s="32"/>
      <c r="E74" s="32"/>
      <c r="F74" s="9"/>
      <c r="G74" s="9"/>
      <c r="H74" s="9"/>
      <c r="I74" s="9"/>
      <c r="J74" s="7"/>
      <c r="L74" s="70">
        <f>SUM(L65:L73)</f>
        <v>261.05700000000002</v>
      </c>
    </row>
    <row r="75" spans="1:12">
      <c r="A75" s="35"/>
      <c r="B75" s="9"/>
      <c r="C75" s="32"/>
      <c r="D75" s="32"/>
      <c r="E75" s="32"/>
      <c r="F75" s="9"/>
      <c r="G75" s="9"/>
      <c r="H75" s="9"/>
      <c r="I75" s="9"/>
      <c r="J75" s="7"/>
      <c r="L75" s="69"/>
    </row>
    <row r="76" spans="1:12">
      <c r="A76" s="35"/>
      <c r="B76" s="9"/>
      <c r="C76" s="32"/>
      <c r="D76" s="32"/>
      <c r="E76" s="32"/>
      <c r="F76" s="9"/>
      <c r="G76" s="9"/>
      <c r="H76" s="9"/>
      <c r="I76" s="9"/>
      <c r="J76" s="7"/>
      <c r="L76" s="69">
        <v>30.779</v>
      </c>
    </row>
    <row r="77" spans="1:12">
      <c r="A77" s="35"/>
      <c r="B77" s="9"/>
      <c r="C77" s="32"/>
      <c r="D77" s="32"/>
      <c r="E77" s="32"/>
      <c r="F77" s="9"/>
      <c r="G77" s="9"/>
      <c r="H77" s="9"/>
      <c r="I77" s="9"/>
      <c r="J77" s="7"/>
      <c r="L77" s="69">
        <v>50.941000000000003</v>
      </c>
    </row>
    <row r="78" spans="1:12">
      <c r="A78" s="35"/>
      <c r="B78" s="9"/>
      <c r="C78" s="32"/>
      <c r="D78" s="32"/>
      <c r="E78" s="32"/>
      <c r="F78" s="9"/>
      <c r="G78" s="9"/>
      <c r="H78" s="9"/>
      <c r="I78" s="9"/>
      <c r="J78" s="7"/>
      <c r="L78" s="69">
        <v>126.73</v>
      </c>
    </row>
    <row r="79" spans="1:12">
      <c r="A79" s="35"/>
      <c r="B79" s="9"/>
      <c r="C79" s="47"/>
      <c r="D79" s="32"/>
      <c r="E79" s="32"/>
      <c r="F79" s="9"/>
      <c r="G79" s="9"/>
      <c r="H79" s="9"/>
      <c r="I79" s="9"/>
      <c r="J79" s="7"/>
      <c r="L79" s="69">
        <v>107.38</v>
      </c>
    </row>
    <row r="80" spans="1:12">
      <c r="A80" s="35"/>
      <c r="B80" s="9"/>
      <c r="C80" s="47"/>
      <c r="D80" s="32"/>
      <c r="E80" s="32"/>
      <c r="F80" s="9"/>
      <c r="G80" s="9"/>
      <c r="H80" s="9"/>
      <c r="I80" s="9"/>
      <c r="J80" s="7"/>
      <c r="L80" s="69">
        <v>32.314999999999998</v>
      </c>
    </row>
    <row r="81" spans="1:12">
      <c r="A81" s="35"/>
      <c r="B81" s="9"/>
      <c r="C81" s="32"/>
      <c r="D81" s="32"/>
      <c r="E81" s="32"/>
      <c r="F81" s="9"/>
      <c r="G81" s="9"/>
      <c r="H81" s="9"/>
      <c r="I81" s="9"/>
      <c r="J81" s="7"/>
      <c r="L81" s="69">
        <v>71.494</v>
      </c>
    </row>
    <row r="82" spans="1:12">
      <c r="A82" s="35"/>
      <c r="B82" s="9"/>
      <c r="C82" s="32"/>
      <c r="D82" s="32"/>
      <c r="E82" s="32"/>
      <c r="F82" s="9"/>
      <c r="G82" s="9"/>
      <c r="H82" s="9"/>
      <c r="I82" s="9"/>
      <c r="J82" s="7"/>
      <c r="L82" s="69">
        <v>38.923000000000002</v>
      </c>
    </row>
    <row r="83" spans="1:12">
      <c r="A83" s="35"/>
      <c r="B83" s="9"/>
      <c r="C83" s="32"/>
      <c r="D83" s="32"/>
      <c r="E83" s="32"/>
      <c r="F83" s="9"/>
      <c r="G83" s="9"/>
      <c r="H83" s="9"/>
      <c r="I83" s="9"/>
      <c r="J83" s="7"/>
      <c r="L83" s="69">
        <v>29.582000000000001</v>
      </c>
    </row>
    <row r="84" spans="1:12">
      <c r="A84" s="35"/>
      <c r="B84" s="9"/>
      <c r="C84" s="47"/>
      <c r="D84" s="32"/>
      <c r="E84" s="32"/>
      <c r="F84" s="9"/>
      <c r="G84" s="9"/>
      <c r="H84" s="9"/>
      <c r="I84" s="9"/>
      <c r="J84" s="7"/>
      <c r="L84" s="69">
        <v>58.789000000000001</v>
      </c>
    </row>
    <row r="85" spans="1:12">
      <c r="A85" s="35"/>
      <c r="B85" s="9"/>
      <c r="C85" s="32"/>
      <c r="D85" s="32"/>
      <c r="E85" s="32"/>
      <c r="F85" s="9"/>
      <c r="G85" s="9"/>
      <c r="H85" s="9"/>
      <c r="I85" s="9"/>
      <c r="J85" s="7"/>
      <c r="L85" s="69">
        <v>19.753</v>
      </c>
    </row>
    <row r="86" spans="1:12">
      <c r="A86" s="35"/>
      <c r="B86" s="9"/>
      <c r="C86" s="47"/>
      <c r="D86" s="32"/>
      <c r="E86" s="32"/>
      <c r="F86" s="9"/>
      <c r="G86" s="9"/>
      <c r="H86" s="9"/>
      <c r="I86" s="9"/>
      <c r="J86" s="7"/>
      <c r="L86" s="69">
        <v>32.76</v>
      </c>
    </row>
    <row r="87" spans="1:12">
      <c r="A87" s="35"/>
      <c r="B87" s="9"/>
      <c r="C87" s="32"/>
      <c r="D87" s="32"/>
      <c r="E87" s="32"/>
      <c r="F87" s="9"/>
      <c r="G87" s="9"/>
      <c r="H87" s="9"/>
      <c r="I87" s="9"/>
      <c r="J87" s="7"/>
      <c r="L87" s="69">
        <v>27.454999999999998</v>
      </c>
    </row>
    <row r="88" spans="1:12">
      <c r="A88" s="35"/>
      <c r="B88" s="9"/>
      <c r="C88" s="32"/>
      <c r="D88" s="32"/>
      <c r="E88" s="32"/>
      <c r="F88" s="9"/>
      <c r="G88" s="9"/>
      <c r="H88" s="9"/>
      <c r="I88" s="9"/>
      <c r="J88" s="7"/>
      <c r="L88" s="69">
        <v>9.7810000000000006</v>
      </c>
    </row>
    <row r="89" spans="1:12">
      <c r="A89" s="35"/>
      <c r="B89" s="9"/>
      <c r="C89" s="32"/>
      <c r="D89" s="32"/>
      <c r="E89" s="32"/>
      <c r="F89" s="9"/>
      <c r="G89" s="9"/>
      <c r="H89" s="9"/>
      <c r="I89" s="9"/>
      <c r="J89" s="7"/>
      <c r="L89" s="69"/>
    </row>
    <row r="90" spans="1:12">
      <c r="A90" s="35"/>
      <c r="B90" s="9"/>
      <c r="C90" s="32"/>
      <c r="D90" s="32"/>
      <c r="E90" s="32"/>
      <c r="F90" s="9"/>
      <c r="G90" s="9"/>
      <c r="H90" s="9"/>
      <c r="I90" s="9"/>
      <c r="J90" s="7"/>
      <c r="L90" s="70">
        <f>SUM(L76:L89)</f>
        <v>636.68200000000002</v>
      </c>
    </row>
    <row r="91" spans="1:12">
      <c r="A91" s="35"/>
      <c r="B91" s="9"/>
      <c r="C91" s="47"/>
      <c r="D91" s="32"/>
      <c r="E91" s="32"/>
      <c r="F91" s="9"/>
      <c r="G91" s="9"/>
      <c r="H91" s="9"/>
      <c r="I91" s="9"/>
      <c r="J91" s="7"/>
      <c r="L91" s="69"/>
    </row>
    <row r="92" spans="1:12">
      <c r="A92" s="35"/>
      <c r="B92" s="9"/>
      <c r="C92" s="32"/>
      <c r="D92" s="32"/>
      <c r="E92" s="32"/>
      <c r="F92" s="9"/>
      <c r="G92" s="9"/>
      <c r="H92" s="9"/>
      <c r="I92" s="9"/>
      <c r="J92" s="7"/>
      <c r="L92" s="69">
        <v>77.72</v>
      </c>
    </row>
    <row r="93" spans="1:12">
      <c r="A93" s="35"/>
      <c r="B93" s="9"/>
      <c r="C93" s="32"/>
      <c r="D93" s="32"/>
      <c r="E93" s="32"/>
      <c r="F93" s="9"/>
      <c r="G93" s="9"/>
      <c r="H93" s="9"/>
      <c r="I93" s="9"/>
      <c r="J93" s="7"/>
      <c r="L93" s="69">
        <v>87.679000000000002</v>
      </c>
    </row>
    <row r="94" spans="1:12">
      <c r="A94" s="35"/>
      <c r="B94" s="9"/>
      <c r="C94" s="47"/>
      <c r="D94" s="32"/>
      <c r="E94" s="32"/>
      <c r="F94" s="9"/>
      <c r="G94" s="9"/>
      <c r="H94" s="9"/>
      <c r="I94" s="9"/>
      <c r="J94" s="7"/>
      <c r="L94" s="69">
        <v>27.747</v>
      </c>
    </row>
    <row r="95" spans="1:12">
      <c r="A95" s="35"/>
      <c r="B95" s="9"/>
      <c r="C95" s="32"/>
      <c r="D95" s="32"/>
      <c r="E95" s="32"/>
      <c r="F95" s="9"/>
      <c r="G95" s="9"/>
      <c r="H95" s="9"/>
      <c r="I95" s="9"/>
      <c r="J95" s="7"/>
      <c r="L95" s="69">
        <v>13.105</v>
      </c>
    </row>
    <row r="96" spans="1:12">
      <c r="A96" s="35"/>
      <c r="B96" s="9"/>
      <c r="C96" s="32"/>
      <c r="D96" s="32"/>
      <c r="E96" s="32"/>
      <c r="F96" s="9"/>
      <c r="G96" s="9"/>
      <c r="H96" s="9"/>
      <c r="I96" s="9"/>
      <c r="J96" s="7"/>
      <c r="L96" s="69">
        <v>114.26</v>
      </c>
    </row>
    <row r="97" spans="1:12">
      <c r="A97" s="35"/>
      <c r="B97" s="9"/>
      <c r="C97" s="32"/>
      <c r="D97" s="32"/>
      <c r="E97" s="32"/>
      <c r="F97" s="9"/>
      <c r="G97" s="9"/>
      <c r="H97" s="9"/>
      <c r="I97" s="9"/>
      <c r="J97" s="7"/>
      <c r="L97" s="69">
        <v>63.881999999999998</v>
      </c>
    </row>
    <row r="98" spans="1:12">
      <c r="A98" s="35"/>
      <c r="B98" s="9"/>
      <c r="C98" s="32"/>
      <c r="D98" s="32"/>
      <c r="E98" s="32"/>
      <c r="F98" s="9"/>
      <c r="G98" s="9"/>
      <c r="H98" s="9"/>
      <c r="I98" s="9"/>
      <c r="J98" s="7"/>
      <c r="L98" s="69">
        <v>51.462000000000003</v>
      </c>
    </row>
    <row r="99" spans="1:12">
      <c r="A99" s="35"/>
      <c r="B99" s="9"/>
      <c r="C99" s="47"/>
      <c r="D99" s="32"/>
      <c r="E99" s="32"/>
      <c r="F99" s="9"/>
      <c r="G99" s="9"/>
      <c r="H99" s="9"/>
      <c r="I99" s="9"/>
      <c r="J99" s="7"/>
      <c r="L99" s="69">
        <v>35.197000000000003</v>
      </c>
    </row>
    <row r="100" spans="1:12">
      <c r="A100" s="35"/>
      <c r="B100" s="9"/>
      <c r="C100" s="32"/>
      <c r="D100" s="32"/>
      <c r="E100" s="32"/>
      <c r="F100" s="9"/>
      <c r="G100" s="9"/>
      <c r="H100" s="9"/>
      <c r="I100" s="9"/>
      <c r="J100" s="7"/>
      <c r="L100" s="69">
        <v>70.718000000000004</v>
      </c>
    </row>
    <row r="101" spans="1:12">
      <c r="A101" s="35"/>
      <c r="B101" s="9"/>
      <c r="C101" s="32"/>
      <c r="D101" s="32"/>
      <c r="E101" s="32"/>
      <c r="F101" s="9"/>
      <c r="G101" s="9"/>
      <c r="H101" s="9"/>
      <c r="I101" s="9"/>
      <c r="J101" s="7"/>
      <c r="L101" s="69">
        <v>23.213999999999999</v>
      </c>
    </row>
    <row r="102" spans="1:12">
      <c r="A102" s="35"/>
      <c r="B102" s="9"/>
      <c r="C102" s="47"/>
      <c r="D102" s="32"/>
      <c r="E102" s="32"/>
      <c r="F102" s="9"/>
      <c r="G102" s="9"/>
      <c r="H102" s="9"/>
      <c r="I102" s="9"/>
      <c r="J102" s="7"/>
      <c r="L102" s="69">
        <v>47.790999999999997</v>
      </c>
    </row>
    <row r="103" spans="1:12">
      <c r="A103" s="35"/>
      <c r="B103" s="9"/>
      <c r="C103" s="32"/>
      <c r="D103" s="32"/>
      <c r="E103" s="32"/>
      <c r="F103" s="9"/>
      <c r="G103" s="9"/>
      <c r="H103" s="9"/>
      <c r="I103" s="9"/>
      <c r="J103" s="7"/>
      <c r="L103" s="69"/>
    </row>
    <row r="104" spans="1:12">
      <c r="A104" s="35"/>
      <c r="B104" s="9"/>
      <c r="C104" s="32"/>
      <c r="D104" s="32"/>
      <c r="E104" s="32"/>
      <c r="F104" s="9"/>
      <c r="G104" s="9"/>
      <c r="H104" s="9"/>
      <c r="I104" s="9"/>
      <c r="J104" s="7"/>
      <c r="L104" s="70">
        <f>SUM(L92:L103)</f>
        <v>612.77499999999986</v>
      </c>
    </row>
    <row r="105" spans="1:12">
      <c r="A105" s="35"/>
      <c r="B105" s="9"/>
      <c r="C105" s="32"/>
      <c r="D105" s="32"/>
      <c r="E105" s="32"/>
      <c r="F105" s="9"/>
      <c r="G105" s="9"/>
      <c r="H105" s="9"/>
      <c r="I105" s="9"/>
      <c r="J105" s="7"/>
      <c r="L105" s="69"/>
    </row>
    <row r="106" spans="1:12">
      <c r="A106" s="35"/>
      <c r="B106" s="9"/>
      <c r="C106" s="47"/>
      <c r="D106" s="32"/>
      <c r="E106" s="32"/>
      <c r="F106" s="9"/>
      <c r="G106" s="9"/>
      <c r="H106" s="9"/>
      <c r="I106" s="9"/>
      <c r="J106" s="7"/>
      <c r="L106" s="69">
        <v>120.8</v>
      </c>
    </row>
    <row r="107" spans="1:12">
      <c r="A107" s="35"/>
      <c r="B107" s="9"/>
      <c r="C107" s="32"/>
      <c r="D107" s="32"/>
      <c r="E107" s="32"/>
      <c r="F107" s="9"/>
      <c r="G107" s="9"/>
      <c r="H107" s="9"/>
      <c r="I107" s="9"/>
      <c r="J107" s="7"/>
      <c r="L107" s="69">
        <v>26.812999999999999</v>
      </c>
    </row>
    <row r="108" spans="1:12">
      <c r="A108" s="35"/>
      <c r="B108" s="9"/>
      <c r="C108" s="47"/>
      <c r="D108" s="32"/>
      <c r="E108" s="32"/>
      <c r="F108" s="9"/>
      <c r="G108" s="9"/>
      <c r="H108" s="9"/>
      <c r="I108" s="9"/>
      <c r="J108" s="7"/>
      <c r="L108" s="69">
        <v>57.896000000000001</v>
      </c>
    </row>
    <row r="109" spans="1:12">
      <c r="A109" s="35"/>
      <c r="B109" s="9"/>
      <c r="C109" s="47"/>
      <c r="D109" s="32"/>
      <c r="E109" s="32"/>
      <c r="F109" s="9"/>
      <c r="G109" s="9"/>
      <c r="H109" s="9"/>
      <c r="I109" s="9"/>
      <c r="J109" s="7"/>
      <c r="L109" s="69">
        <v>72.494</v>
      </c>
    </row>
    <row r="110" spans="1:12">
      <c r="A110" s="35"/>
      <c r="B110" s="9"/>
      <c r="C110" s="32"/>
      <c r="D110" s="32"/>
      <c r="E110" s="32"/>
      <c r="F110" s="9"/>
      <c r="G110" s="9"/>
      <c r="H110" s="9"/>
      <c r="I110" s="9"/>
      <c r="J110" s="7"/>
      <c r="L110" s="69">
        <v>103.72</v>
      </c>
    </row>
    <row r="111" spans="1:12">
      <c r="A111" s="35"/>
      <c r="B111" s="9"/>
      <c r="C111" s="32"/>
      <c r="D111" s="32"/>
      <c r="E111" s="32"/>
      <c r="F111" s="9"/>
      <c r="G111" s="9"/>
      <c r="H111" s="9"/>
      <c r="I111" s="9"/>
      <c r="J111" s="7"/>
      <c r="L111" s="69">
        <v>23.454000000000001</v>
      </c>
    </row>
    <row r="112" spans="1:12">
      <c r="A112" s="35"/>
      <c r="B112" s="9"/>
      <c r="C112" s="32"/>
      <c r="D112" s="32"/>
      <c r="E112" s="32"/>
      <c r="F112" s="9"/>
      <c r="G112" s="9"/>
      <c r="H112" s="9"/>
      <c r="I112" s="9"/>
      <c r="J112" s="7"/>
      <c r="L112" s="69">
        <v>55.238</v>
      </c>
    </row>
    <row r="113" spans="1:12">
      <c r="A113" s="35"/>
      <c r="B113" s="9"/>
      <c r="C113" s="47"/>
      <c r="D113" s="32"/>
      <c r="E113" s="32"/>
      <c r="F113" s="9"/>
      <c r="G113" s="9"/>
      <c r="H113" s="9"/>
      <c r="I113" s="9"/>
      <c r="J113" s="7"/>
      <c r="L113" s="69">
        <v>43.365000000000002</v>
      </c>
    </row>
    <row r="114" spans="1:12">
      <c r="A114" s="35"/>
      <c r="B114" s="9"/>
      <c r="C114" s="32"/>
      <c r="D114" s="32"/>
      <c r="E114" s="32"/>
      <c r="F114" s="9"/>
      <c r="G114" s="9"/>
      <c r="H114" s="9"/>
      <c r="I114" s="9"/>
      <c r="J114" s="7"/>
      <c r="L114" s="69">
        <v>38.823999999999998</v>
      </c>
    </row>
    <row r="115" spans="1:12">
      <c r="A115" s="35"/>
      <c r="B115" s="9"/>
      <c r="C115" s="32"/>
      <c r="D115" s="32"/>
      <c r="E115" s="32"/>
      <c r="F115" s="9"/>
      <c r="G115" s="9"/>
      <c r="H115" s="9"/>
      <c r="I115" s="9"/>
      <c r="J115" s="7"/>
      <c r="L115" s="69">
        <v>50.319000000000003</v>
      </c>
    </row>
    <row r="116" spans="1:12">
      <c r="A116" s="35"/>
      <c r="B116" s="9"/>
      <c r="C116" s="32"/>
      <c r="D116" s="32"/>
      <c r="E116" s="32"/>
      <c r="F116" s="9"/>
      <c r="G116" s="9"/>
      <c r="H116" s="9"/>
      <c r="I116" s="9"/>
      <c r="J116" s="7"/>
      <c r="L116" s="69">
        <v>19.295999999999999</v>
      </c>
    </row>
    <row r="117" spans="1:12">
      <c r="A117" s="35"/>
      <c r="B117" s="9"/>
      <c r="C117" s="32"/>
      <c r="D117" s="32"/>
      <c r="E117" s="32"/>
      <c r="F117" s="9"/>
      <c r="G117" s="9"/>
      <c r="H117" s="9"/>
      <c r="I117" s="9"/>
      <c r="J117" s="7"/>
      <c r="L117" s="69">
        <v>27.891999999999999</v>
      </c>
    </row>
    <row r="118" spans="1:12">
      <c r="A118" s="35"/>
      <c r="B118" s="9"/>
      <c r="C118" s="32"/>
      <c r="D118" s="32"/>
      <c r="E118" s="32"/>
      <c r="F118" s="9"/>
      <c r="G118" s="9"/>
      <c r="H118" s="9"/>
      <c r="I118" s="9"/>
      <c r="J118" s="7"/>
      <c r="L118" s="69">
        <v>72.099999999999994</v>
      </c>
    </row>
    <row r="119" spans="1:12">
      <c r="A119" s="35"/>
      <c r="B119" s="9"/>
      <c r="C119" s="32"/>
      <c r="D119" s="32"/>
      <c r="E119" s="32"/>
      <c r="F119" s="9"/>
      <c r="G119" s="9"/>
      <c r="H119" s="9"/>
      <c r="I119" s="9"/>
      <c r="J119" s="7"/>
      <c r="L119" s="69"/>
    </row>
    <row r="120" spans="1:12">
      <c r="A120" s="35"/>
      <c r="B120" s="9"/>
      <c r="C120" s="32"/>
      <c r="D120" s="32"/>
      <c r="E120" s="32"/>
      <c r="F120" s="9"/>
      <c r="G120" s="9"/>
      <c r="H120" s="9"/>
      <c r="I120" s="9"/>
      <c r="J120" s="7"/>
      <c r="L120" s="70">
        <f>SUM(L106:L119)</f>
        <v>712.21100000000013</v>
      </c>
    </row>
    <row r="121" spans="1:12">
      <c r="A121" s="35"/>
      <c r="B121" s="9"/>
      <c r="C121" s="32"/>
      <c r="D121" s="32"/>
      <c r="E121" s="32"/>
      <c r="F121" s="9"/>
      <c r="G121" s="9"/>
      <c r="H121" s="9"/>
      <c r="I121" s="9"/>
      <c r="J121" s="7"/>
      <c r="L121" s="69"/>
    </row>
    <row r="122" spans="1:12">
      <c r="A122" s="35"/>
      <c r="B122" s="9"/>
      <c r="C122" s="32"/>
      <c r="D122" s="32"/>
      <c r="E122" s="32"/>
      <c r="F122" s="9"/>
      <c r="G122" s="9"/>
      <c r="H122" s="9"/>
      <c r="I122" s="9"/>
      <c r="J122" s="7"/>
      <c r="L122" s="69">
        <v>14.521000000000001</v>
      </c>
    </row>
    <row r="123" spans="1:12">
      <c r="A123" s="35"/>
      <c r="B123" s="9"/>
      <c r="C123" s="32"/>
      <c r="D123" s="32"/>
      <c r="E123" s="32"/>
      <c r="F123" s="9"/>
      <c r="G123" s="9"/>
      <c r="H123" s="9"/>
      <c r="I123" s="9"/>
      <c r="J123" s="7"/>
      <c r="L123" s="69">
        <v>49.012</v>
      </c>
    </row>
    <row r="124" spans="1:12">
      <c r="A124" s="35"/>
      <c r="B124" s="9"/>
      <c r="C124" s="32"/>
      <c r="D124" s="32"/>
      <c r="E124" s="32"/>
      <c r="F124" s="9"/>
      <c r="G124" s="9"/>
      <c r="H124" s="9"/>
      <c r="I124" s="9"/>
      <c r="J124" s="7"/>
      <c r="L124" s="69">
        <v>94.058999999999997</v>
      </c>
    </row>
    <row r="125" spans="1:12">
      <c r="A125" s="35"/>
      <c r="B125" s="9"/>
      <c r="C125" s="32"/>
      <c r="D125" s="32"/>
      <c r="E125" s="32"/>
      <c r="F125" s="9"/>
      <c r="G125" s="9"/>
      <c r="H125" s="9"/>
      <c r="I125" s="9"/>
      <c r="J125" s="7"/>
      <c r="L125" s="69">
        <v>20.138000000000002</v>
      </c>
    </row>
    <row r="126" spans="1:12">
      <c r="A126" s="35"/>
      <c r="B126" s="9"/>
      <c r="C126" s="32"/>
      <c r="D126" s="32"/>
      <c r="E126" s="32"/>
      <c r="F126" s="9"/>
      <c r="G126" s="9"/>
      <c r="H126" s="9"/>
      <c r="I126" s="9"/>
      <c r="J126" s="7"/>
      <c r="L126" s="69">
        <v>34.125999999999998</v>
      </c>
    </row>
    <row r="127" spans="1:12">
      <c r="A127" s="35"/>
      <c r="B127" s="9"/>
      <c r="C127" s="32"/>
      <c r="D127" s="32"/>
      <c r="E127" s="32"/>
      <c r="F127" s="9"/>
      <c r="G127" s="9"/>
      <c r="H127" s="9"/>
      <c r="I127" s="9"/>
      <c r="J127" s="7"/>
      <c r="L127" s="69">
        <v>92.533000000000001</v>
      </c>
    </row>
    <row r="128" spans="1:12">
      <c r="A128" s="35"/>
      <c r="B128" s="9"/>
      <c r="C128" s="32"/>
      <c r="D128" s="32"/>
      <c r="E128" s="32"/>
      <c r="F128" s="9"/>
      <c r="G128" s="9"/>
      <c r="H128" s="9"/>
      <c r="I128" s="9"/>
      <c r="J128" s="7"/>
      <c r="L128" s="69">
        <v>26.600999999999999</v>
      </c>
    </row>
    <row r="129" spans="1:12">
      <c r="A129" s="35"/>
      <c r="B129" s="9"/>
      <c r="C129" s="32"/>
      <c r="D129" s="32"/>
      <c r="E129" s="32"/>
      <c r="F129" s="9"/>
      <c r="G129" s="9"/>
      <c r="H129" s="9"/>
      <c r="I129" s="9"/>
      <c r="J129" s="7"/>
      <c r="L129" s="69">
        <v>94.543000000000006</v>
      </c>
    </row>
    <row r="130" spans="1:12">
      <c r="A130" s="35"/>
      <c r="B130" s="9"/>
      <c r="C130" s="32"/>
      <c r="D130" s="32"/>
      <c r="E130" s="32"/>
      <c r="F130" s="9"/>
      <c r="G130" s="9"/>
      <c r="H130" s="9"/>
      <c r="I130" s="9"/>
      <c r="J130" s="7"/>
      <c r="L130" s="69">
        <v>29.07</v>
      </c>
    </row>
    <row r="131" spans="1:12">
      <c r="A131" s="35"/>
      <c r="B131" s="9"/>
      <c r="C131" s="32"/>
      <c r="D131" s="32"/>
      <c r="E131" s="32"/>
      <c r="F131" s="9"/>
      <c r="G131" s="9"/>
      <c r="H131" s="9"/>
      <c r="I131" s="9"/>
      <c r="J131" s="7"/>
      <c r="L131" s="69">
        <v>22.564</v>
      </c>
    </row>
    <row r="132" spans="1:12">
      <c r="A132" s="35"/>
      <c r="B132" s="9"/>
      <c r="C132" s="32"/>
      <c r="D132" s="32"/>
      <c r="E132" s="32"/>
      <c r="F132" s="9"/>
      <c r="G132" s="9"/>
      <c r="H132" s="9"/>
      <c r="I132" s="9"/>
      <c r="J132" s="7"/>
      <c r="L132" s="69">
        <v>22.131</v>
      </c>
    </row>
    <row r="133" spans="1:12">
      <c r="A133" s="35"/>
      <c r="B133" s="9"/>
      <c r="C133" s="32"/>
      <c r="D133" s="32"/>
      <c r="E133" s="32"/>
      <c r="F133" s="9"/>
      <c r="G133" s="9"/>
      <c r="H133" s="9"/>
      <c r="I133" s="9"/>
      <c r="J133" s="7"/>
      <c r="L133" s="69">
        <v>34.268000000000001</v>
      </c>
    </row>
    <row r="134" spans="1:12">
      <c r="A134" s="35"/>
      <c r="B134" s="9"/>
      <c r="C134" s="32"/>
      <c r="D134" s="32"/>
      <c r="E134" s="32"/>
      <c r="F134" s="9"/>
      <c r="G134" s="9"/>
      <c r="H134" s="9"/>
      <c r="I134" s="9"/>
      <c r="J134" s="7"/>
      <c r="L134" s="69">
        <v>40.061</v>
      </c>
    </row>
    <row r="135" spans="1:12">
      <c r="A135" s="35"/>
      <c r="B135" s="9"/>
      <c r="C135" s="32"/>
      <c r="D135" s="32"/>
      <c r="E135" s="32"/>
      <c r="F135" s="9"/>
      <c r="G135" s="9"/>
      <c r="H135" s="9"/>
      <c r="I135" s="9"/>
      <c r="J135" s="7"/>
      <c r="L135" s="69">
        <v>22.352</v>
      </c>
    </row>
    <row r="136" spans="1:12">
      <c r="A136" s="35"/>
      <c r="B136" s="9"/>
      <c r="C136" s="32"/>
      <c r="D136" s="32"/>
      <c r="E136" s="32"/>
      <c r="F136" s="9"/>
      <c r="G136" s="9"/>
      <c r="H136" s="9"/>
      <c r="I136" s="9"/>
      <c r="J136" s="7"/>
      <c r="L136" s="69"/>
    </row>
    <row r="137" spans="1:12">
      <c r="A137" s="35"/>
      <c r="B137" s="9"/>
      <c r="C137" s="32"/>
      <c r="D137" s="32"/>
      <c r="E137" s="32"/>
      <c r="F137" s="9"/>
      <c r="G137" s="9"/>
      <c r="H137" s="9"/>
      <c r="I137" s="9"/>
      <c r="J137" s="7"/>
      <c r="L137" s="70">
        <f>SUM(L122:L136)</f>
        <v>595.97900000000004</v>
      </c>
    </row>
    <row r="138" spans="1:12">
      <c r="A138" s="35"/>
      <c r="B138" s="9"/>
      <c r="C138" s="32"/>
      <c r="D138" s="32"/>
      <c r="E138" s="32"/>
      <c r="F138" s="9"/>
      <c r="G138" s="9"/>
      <c r="H138" s="9"/>
      <c r="I138" s="9"/>
      <c r="J138" s="7"/>
      <c r="L138" s="69"/>
    </row>
    <row r="139" spans="1:12">
      <c r="A139" s="35"/>
      <c r="B139" s="9"/>
      <c r="C139" s="32"/>
      <c r="D139" s="32"/>
      <c r="E139" s="32"/>
      <c r="F139" s="9"/>
      <c r="G139" s="9"/>
      <c r="H139" s="9"/>
      <c r="I139" s="9"/>
      <c r="J139" s="7"/>
      <c r="L139" s="69">
        <v>62.006999999999998</v>
      </c>
    </row>
    <row r="140" spans="1:12">
      <c r="A140" s="35"/>
      <c r="B140" s="9"/>
      <c r="C140" s="32"/>
      <c r="D140" s="32"/>
      <c r="E140" s="32"/>
      <c r="F140" s="9"/>
      <c r="G140" s="9"/>
      <c r="H140" s="9"/>
      <c r="I140" s="9"/>
      <c r="J140" s="7"/>
      <c r="L140" s="69">
        <v>61.182000000000002</v>
      </c>
    </row>
    <row r="141" spans="1:12">
      <c r="A141" s="35"/>
      <c r="B141" s="9"/>
      <c r="C141" s="32"/>
      <c r="D141" s="32"/>
      <c r="E141" s="32"/>
      <c r="F141" s="9"/>
      <c r="G141" s="9"/>
      <c r="H141" s="9"/>
      <c r="I141" s="9"/>
      <c r="J141" s="7"/>
      <c r="L141" s="69">
        <v>61.314</v>
      </c>
    </row>
    <row r="142" spans="1:12">
      <c r="A142" s="35"/>
      <c r="B142" s="9"/>
      <c r="C142" s="32"/>
      <c r="D142" s="32"/>
      <c r="E142" s="32"/>
      <c r="F142" s="9"/>
      <c r="G142" s="9"/>
      <c r="H142" s="9"/>
      <c r="I142" s="9"/>
      <c r="J142" s="7"/>
      <c r="L142" s="69">
        <v>50.515999999999998</v>
      </c>
    </row>
    <row r="143" spans="1:12">
      <c r="A143" s="44"/>
      <c r="B143" s="9"/>
      <c r="C143" s="32"/>
      <c r="D143" s="32"/>
      <c r="E143" s="32"/>
      <c r="F143" s="9"/>
      <c r="G143" s="9"/>
      <c r="H143" s="9"/>
      <c r="I143" s="9"/>
      <c r="J143" s="7"/>
      <c r="L143" s="69">
        <v>63.615000000000002</v>
      </c>
    </row>
    <row r="144" spans="1:12">
      <c r="A144" s="44"/>
      <c r="B144" s="9"/>
      <c r="C144" s="32"/>
      <c r="D144" s="32"/>
      <c r="E144" s="32"/>
      <c r="F144" s="9"/>
      <c r="G144" s="9"/>
      <c r="H144" s="9"/>
      <c r="I144" s="9"/>
      <c r="J144" s="7"/>
      <c r="L144" s="69">
        <v>130.04</v>
      </c>
    </row>
    <row r="145" spans="1:12">
      <c r="A145" s="44"/>
      <c r="B145" s="9"/>
      <c r="C145" s="32"/>
      <c r="D145" s="32"/>
      <c r="E145" s="32"/>
      <c r="F145" s="9"/>
      <c r="G145" s="9"/>
      <c r="H145" s="9"/>
      <c r="I145" s="9"/>
      <c r="J145" s="7"/>
      <c r="L145" s="69">
        <v>44.003</v>
      </c>
    </row>
    <row r="146" spans="1:12">
      <c r="A146" s="44"/>
      <c r="B146" s="9"/>
      <c r="C146" s="32"/>
      <c r="D146" s="32"/>
      <c r="E146" s="32"/>
      <c r="F146" s="9"/>
      <c r="G146" s="9"/>
      <c r="H146" s="9"/>
      <c r="I146" s="9"/>
      <c r="J146" s="7"/>
      <c r="L146" s="69">
        <v>13.727</v>
      </c>
    </row>
    <row r="147" spans="1:12">
      <c r="A147" s="44"/>
      <c r="B147" s="9"/>
      <c r="C147" s="32"/>
      <c r="D147" s="32"/>
      <c r="E147" s="32"/>
      <c r="F147" s="9"/>
      <c r="G147" s="9"/>
      <c r="H147" s="9"/>
      <c r="I147" s="9"/>
      <c r="J147" s="7"/>
      <c r="L147" s="69">
        <v>100.61</v>
      </c>
    </row>
    <row r="148" spans="1:12">
      <c r="A148" s="44"/>
      <c r="B148" s="9"/>
      <c r="C148" s="32"/>
      <c r="D148" s="32"/>
      <c r="E148" s="32"/>
      <c r="F148" s="9"/>
      <c r="G148" s="9"/>
      <c r="H148" s="9"/>
      <c r="I148" s="9"/>
      <c r="J148" s="7"/>
      <c r="L148" s="69">
        <v>44.222999999999999</v>
      </c>
    </row>
    <row r="149" spans="1:12">
      <c r="A149" s="44"/>
      <c r="B149" s="9"/>
      <c r="C149" s="32"/>
      <c r="D149" s="32"/>
      <c r="E149" s="32"/>
      <c r="F149" s="9"/>
      <c r="G149" s="9"/>
      <c r="H149" s="9"/>
      <c r="I149" s="9"/>
      <c r="J149" s="7"/>
      <c r="L149" s="69">
        <v>55.005000000000003</v>
      </c>
    </row>
    <row r="150" spans="1:12">
      <c r="A150" s="44"/>
      <c r="B150" s="9"/>
      <c r="C150" s="32"/>
      <c r="D150" s="32"/>
      <c r="E150" s="32"/>
      <c r="F150" s="9"/>
      <c r="G150" s="9"/>
      <c r="H150" s="9"/>
      <c r="I150" s="9"/>
      <c r="J150" s="7"/>
      <c r="L150" s="69">
        <v>36.883000000000003</v>
      </c>
    </row>
    <row r="151" spans="1:12">
      <c r="A151" s="44"/>
      <c r="B151" s="9"/>
      <c r="C151" s="32"/>
      <c r="D151" s="32"/>
      <c r="E151" s="32"/>
      <c r="F151" s="9"/>
      <c r="G151" s="9"/>
      <c r="H151" s="9"/>
      <c r="I151" s="9"/>
      <c r="J151" s="7"/>
      <c r="L151" s="69">
        <v>59.014000000000003</v>
      </c>
    </row>
    <row r="152" spans="1:12">
      <c r="A152" s="44"/>
      <c r="B152" s="9"/>
      <c r="C152" s="32"/>
      <c r="D152" s="32"/>
      <c r="E152" s="32"/>
      <c r="F152" s="9"/>
      <c r="G152" s="9"/>
      <c r="H152" s="9"/>
      <c r="I152" s="9"/>
      <c r="J152" s="7"/>
      <c r="L152" s="69">
        <v>22.82</v>
      </c>
    </row>
    <row r="153" spans="1:12">
      <c r="A153" s="44"/>
      <c r="B153" s="9"/>
      <c r="C153" s="32"/>
      <c r="D153" s="32"/>
      <c r="E153" s="32"/>
      <c r="F153" s="9"/>
      <c r="G153" s="9"/>
      <c r="H153" s="9"/>
      <c r="I153" s="9"/>
      <c r="J153" s="7"/>
      <c r="L153" s="69">
        <v>35.398000000000003</v>
      </c>
    </row>
    <row r="154" spans="1:12">
      <c r="A154" s="44"/>
      <c r="B154" s="9"/>
      <c r="C154" s="32"/>
      <c r="D154" s="32"/>
      <c r="E154" s="32"/>
      <c r="F154" s="9"/>
      <c r="G154" s="9"/>
      <c r="H154" s="9"/>
      <c r="I154" s="9"/>
      <c r="J154" s="7"/>
      <c r="L154" s="69">
        <v>38.265000000000001</v>
      </c>
    </row>
    <row r="155" spans="1:12">
      <c r="A155" s="44"/>
      <c r="B155" s="9"/>
      <c r="C155" s="32"/>
      <c r="D155" s="32"/>
      <c r="E155" s="32"/>
      <c r="F155" s="9"/>
      <c r="G155" s="9"/>
      <c r="H155" s="9"/>
      <c r="I155" s="9"/>
      <c r="J155" s="7"/>
      <c r="L155" s="69">
        <v>36.000999999999998</v>
      </c>
    </row>
    <row r="156" spans="1:12">
      <c r="A156" s="44"/>
      <c r="B156" s="9"/>
      <c r="C156" s="32"/>
      <c r="D156" s="32"/>
      <c r="E156" s="32"/>
      <c r="F156" s="9"/>
      <c r="G156" s="9"/>
      <c r="H156" s="9"/>
      <c r="I156" s="9"/>
      <c r="J156" s="7"/>
      <c r="L156" s="69"/>
    </row>
    <row r="157" spans="1:12">
      <c r="A157" s="44"/>
      <c r="B157" s="9"/>
      <c r="C157" s="32"/>
      <c r="D157" s="32"/>
      <c r="E157" s="32"/>
      <c r="F157" s="9"/>
      <c r="G157" s="9"/>
      <c r="H157" s="9"/>
      <c r="I157" s="9"/>
      <c r="J157" s="7"/>
      <c r="L157" s="70">
        <f>SUM(L139:L156)</f>
        <v>914.62299999999993</v>
      </c>
    </row>
    <row r="158" spans="1:12">
      <c r="A158" s="44"/>
      <c r="B158" s="9"/>
      <c r="C158" s="32"/>
      <c r="D158" s="32"/>
      <c r="E158" s="32"/>
      <c r="F158" s="9"/>
      <c r="G158" s="9"/>
      <c r="H158" s="9"/>
      <c r="I158" s="9"/>
      <c r="J158" s="7"/>
      <c r="L158" s="69"/>
    </row>
    <row r="159" spans="1:12">
      <c r="A159" s="44"/>
      <c r="B159" s="9"/>
      <c r="C159" s="32"/>
      <c r="D159" s="32"/>
      <c r="E159" s="32"/>
      <c r="F159" s="9"/>
      <c r="G159" s="9"/>
      <c r="H159" s="9"/>
      <c r="I159" s="9"/>
      <c r="J159" s="7"/>
      <c r="L159" s="69">
        <v>10.805</v>
      </c>
    </row>
    <row r="160" spans="1:12">
      <c r="A160" s="44"/>
      <c r="B160" s="9"/>
      <c r="C160" s="32"/>
      <c r="D160" s="32"/>
      <c r="E160" s="32"/>
      <c r="F160" s="9"/>
      <c r="G160" s="9"/>
      <c r="H160" s="9"/>
      <c r="I160" s="9"/>
      <c r="J160" s="7"/>
      <c r="L160" s="69">
        <v>24.262</v>
      </c>
    </row>
    <row r="161" spans="1:12">
      <c r="A161" s="44"/>
      <c r="B161" s="9"/>
      <c r="C161" s="32"/>
      <c r="D161" s="32"/>
      <c r="E161" s="32"/>
      <c r="F161" s="9"/>
      <c r="G161" s="9"/>
      <c r="H161" s="9"/>
      <c r="I161" s="9"/>
      <c r="J161" s="7"/>
      <c r="L161" s="69">
        <v>8.7219999999999995</v>
      </c>
    </row>
    <row r="162" spans="1:12">
      <c r="A162" s="44"/>
      <c r="B162" s="9"/>
      <c r="C162" s="32"/>
      <c r="D162" s="32"/>
      <c r="E162" s="32"/>
      <c r="F162" s="9"/>
      <c r="G162" s="9"/>
      <c r="H162" s="9"/>
      <c r="I162" s="9"/>
      <c r="J162" s="7"/>
      <c r="L162" s="69">
        <v>55.512999999999998</v>
      </c>
    </row>
    <row r="163" spans="1:12">
      <c r="A163" s="44"/>
      <c r="B163" s="9"/>
      <c r="C163" s="32"/>
      <c r="D163" s="32"/>
      <c r="E163" s="32"/>
      <c r="F163" s="9"/>
      <c r="G163" s="9"/>
      <c r="H163" s="9"/>
      <c r="I163" s="9"/>
      <c r="J163" s="7"/>
      <c r="L163" s="69">
        <v>70.001000000000005</v>
      </c>
    </row>
    <row r="164" spans="1:12">
      <c r="A164" s="44"/>
      <c r="B164" s="9"/>
      <c r="C164" s="32"/>
      <c r="D164" s="32"/>
      <c r="E164" s="32"/>
      <c r="F164" s="9"/>
      <c r="G164" s="9"/>
      <c r="H164" s="9"/>
      <c r="I164" s="9"/>
      <c r="J164" s="7"/>
      <c r="L164" s="69">
        <v>26.545999999999999</v>
      </c>
    </row>
    <row r="165" spans="1:12">
      <c r="A165" s="44"/>
      <c r="B165" s="9"/>
      <c r="C165" s="32"/>
      <c r="D165" s="32"/>
      <c r="E165" s="32"/>
      <c r="F165" s="9"/>
      <c r="G165" s="9"/>
      <c r="H165" s="9"/>
      <c r="I165" s="9"/>
      <c r="J165" s="7"/>
      <c r="L165" s="69">
        <v>18.141999999999999</v>
      </c>
    </row>
    <row r="166" spans="1:12">
      <c r="A166" s="44"/>
      <c r="B166" s="9"/>
      <c r="C166" s="32"/>
      <c r="D166" s="32"/>
      <c r="E166" s="32"/>
      <c r="F166" s="9"/>
      <c r="G166" s="9"/>
      <c r="H166" s="9"/>
      <c r="I166" s="9"/>
      <c r="J166" s="7"/>
      <c r="L166" s="69">
        <v>42.710999999999999</v>
      </c>
    </row>
    <row r="167" spans="1:12">
      <c r="A167" s="44"/>
      <c r="B167" s="9"/>
      <c r="C167" s="32"/>
      <c r="D167" s="32"/>
      <c r="E167" s="32"/>
      <c r="F167" s="9"/>
      <c r="G167" s="9"/>
      <c r="H167" s="9"/>
      <c r="I167" s="9"/>
      <c r="J167" s="7"/>
      <c r="L167" s="69">
        <v>38.176000000000002</v>
      </c>
    </row>
    <row r="168" spans="1:12">
      <c r="A168" s="44"/>
      <c r="B168" s="9"/>
      <c r="C168" s="32"/>
      <c r="D168" s="32"/>
      <c r="E168" s="32"/>
      <c r="F168" s="9"/>
      <c r="G168" s="9"/>
      <c r="H168" s="9"/>
      <c r="I168" s="9"/>
      <c r="J168" s="7"/>
      <c r="L168" s="69">
        <v>16.251999999999999</v>
      </c>
    </row>
    <row r="169" spans="1:12">
      <c r="A169" s="44"/>
      <c r="B169" s="9"/>
      <c r="C169" s="32"/>
      <c r="D169" s="32"/>
      <c r="E169" s="32"/>
      <c r="F169" s="9"/>
      <c r="G169" s="9"/>
      <c r="H169" s="9"/>
      <c r="I169" s="9"/>
      <c r="J169" s="7"/>
      <c r="L169" s="69">
        <v>76.010999999999996</v>
      </c>
    </row>
    <row r="170" spans="1:12">
      <c r="A170" s="44"/>
      <c r="B170" s="9"/>
      <c r="C170" s="32"/>
      <c r="D170" s="32"/>
      <c r="E170" s="32"/>
      <c r="F170" s="9"/>
      <c r="G170" s="9"/>
      <c r="H170" s="9"/>
      <c r="I170" s="9"/>
      <c r="J170" s="7"/>
      <c r="L170" s="69">
        <v>82.028000000000006</v>
      </c>
    </row>
    <row r="171" spans="1:12">
      <c r="A171" s="44"/>
      <c r="B171" s="9"/>
      <c r="C171" s="32"/>
      <c r="D171" s="32"/>
      <c r="E171" s="32"/>
      <c r="F171" s="9"/>
      <c r="G171" s="9"/>
      <c r="H171" s="9"/>
      <c r="I171" s="9"/>
      <c r="J171" s="7"/>
      <c r="L171" s="69">
        <v>50.819000000000003</v>
      </c>
    </row>
    <row r="172" spans="1:12">
      <c r="A172" s="44"/>
      <c r="B172" s="9"/>
      <c r="C172" s="32"/>
      <c r="D172" s="32"/>
      <c r="E172" s="32"/>
      <c r="F172" s="9"/>
      <c r="G172" s="9"/>
      <c r="H172" s="9"/>
      <c r="I172" s="9"/>
      <c r="J172" s="7"/>
      <c r="L172" s="69">
        <v>13.499000000000001</v>
      </c>
    </row>
    <row r="173" spans="1:12">
      <c r="A173" s="44"/>
      <c r="B173" s="9"/>
      <c r="C173" s="32"/>
      <c r="D173" s="32"/>
      <c r="E173" s="32"/>
      <c r="F173" s="9"/>
      <c r="G173" s="9"/>
      <c r="H173" s="9"/>
      <c r="I173" s="9"/>
      <c r="J173" s="7"/>
      <c r="L173" s="69">
        <v>74.855000000000004</v>
      </c>
    </row>
    <row r="174" spans="1:12">
      <c r="A174" s="44"/>
      <c r="B174" s="9"/>
      <c r="C174" s="32"/>
      <c r="D174" s="32"/>
      <c r="E174" s="32"/>
      <c r="F174" s="9"/>
      <c r="G174" s="9"/>
      <c r="H174" s="9"/>
      <c r="I174" s="9"/>
      <c r="J174" s="7"/>
      <c r="L174" s="69"/>
    </row>
    <row r="175" spans="1:12">
      <c r="L175" s="70">
        <f>SUM(L159:L174)</f>
        <v>608.34199999999998</v>
      </c>
    </row>
    <row r="176" spans="1:12">
      <c r="L176" s="69"/>
    </row>
    <row r="177" spans="12:12">
      <c r="L177">
        <v>36.773000000000003</v>
      </c>
    </row>
    <row r="178" spans="12:12">
      <c r="L178">
        <v>35.615000000000002</v>
      </c>
    </row>
    <row r="179" spans="12:12">
      <c r="L179">
        <v>7.9859999999999998</v>
      </c>
    </row>
    <row r="180" spans="12:12">
      <c r="L180">
        <v>8.0399999999999991</v>
      </c>
    </row>
    <row r="181" spans="12:12">
      <c r="L181">
        <v>50.871000000000002</v>
      </c>
    </row>
    <row r="182" spans="12:12">
      <c r="L182">
        <v>22.492999999999999</v>
      </c>
    </row>
    <row r="183" spans="12:12">
      <c r="L183">
        <v>28.585000000000001</v>
      </c>
    </row>
    <row r="184" spans="12:12">
      <c r="L184">
        <v>54.186</v>
      </c>
    </row>
    <row r="185" spans="12:12">
      <c r="L185">
        <v>42.896000000000001</v>
      </c>
    </row>
    <row r="186" spans="12:12">
      <c r="L186">
        <v>42.325000000000003</v>
      </c>
    </row>
    <row r="188" spans="12:12">
      <c r="L188" s="71">
        <f>SUM(L177:L187)</f>
        <v>329.77000000000004</v>
      </c>
    </row>
    <row r="190" spans="12:12">
      <c r="L190">
        <v>80.724999999999994</v>
      </c>
    </row>
    <row r="191" spans="12:12">
      <c r="L191">
        <v>103.52</v>
      </c>
    </row>
    <row r="192" spans="12:12">
      <c r="L192">
        <v>7.34</v>
      </c>
    </row>
    <row r="193" spans="12:12">
      <c r="L193">
        <v>28.96</v>
      </c>
    </row>
    <row r="194" spans="12:12">
      <c r="L194">
        <v>80.811000000000007</v>
      </c>
    </row>
    <row r="195" spans="12:12">
      <c r="L195">
        <v>60.972000000000001</v>
      </c>
    </row>
    <row r="196" spans="12:12">
      <c r="L196">
        <v>36.375</v>
      </c>
    </row>
    <row r="197" spans="12:12">
      <c r="L197">
        <v>23.667000000000002</v>
      </c>
    </row>
    <row r="198" spans="12:12">
      <c r="L198">
        <v>7.383</v>
      </c>
    </row>
    <row r="199" spans="12:12">
      <c r="L199">
        <v>25.786000000000001</v>
      </c>
    </row>
    <row r="200" spans="12:12">
      <c r="L200">
        <v>22.760999999999999</v>
      </c>
    </row>
    <row r="201" spans="12:12">
      <c r="L201">
        <v>18.882000000000001</v>
      </c>
    </row>
    <row r="203" spans="12:12">
      <c r="L203">
        <f>SUM(L190:L202)</f>
        <v>497.18200000000002</v>
      </c>
    </row>
  </sheetData>
  <mergeCells count="1">
    <mergeCell ref="A1:J1"/>
  </mergeCells>
  <conditionalFormatting sqref="I3:I174">
    <cfRule type="cellIs" dxfId="1" priority="1" stopIfTrue="1" operator="lessThanOrEqual">
      <formula>0</formula>
    </cfRule>
  </conditionalFormatting>
  <conditionalFormatting sqref="J3:J174">
    <cfRule type="cellIs" dxfId="0" priority="2" stopIfTrue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CB99B-7ECA-417F-8F3B-42F656F3CFF9}">
  <sheetPr>
    <tabColor rgb="FFFF0000"/>
  </sheetPr>
  <dimension ref="A1:O394"/>
  <sheetViews>
    <sheetView workbookViewId="0">
      <selection activeCell="L30" sqref="L30"/>
    </sheetView>
  </sheetViews>
  <sheetFormatPr baseColWidth="10" defaultRowHeight="15"/>
  <cols>
    <col min="2" max="2" width="14.7109375" customWidth="1"/>
    <col min="7" max="7" width="14" bestFit="1" customWidth="1"/>
    <col min="8" max="8" width="3.42578125" customWidth="1"/>
    <col min="10" max="10" width="14.7109375" bestFit="1" customWidth="1"/>
    <col min="14" max="14" width="11.5703125" bestFit="1" customWidth="1"/>
    <col min="15" max="15" width="14" bestFit="1" customWidth="1"/>
  </cols>
  <sheetData>
    <row r="1" spans="1:15">
      <c r="A1" s="125" t="s">
        <v>58</v>
      </c>
      <c r="B1" s="125"/>
      <c r="C1" s="125"/>
      <c r="D1" s="125"/>
      <c r="E1" s="125"/>
      <c r="F1" s="125"/>
      <c r="G1" s="125"/>
      <c r="J1" s="125" t="s">
        <v>59</v>
      </c>
      <c r="K1" s="125"/>
      <c r="L1" s="125"/>
      <c r="M1" s="125"/>
      <c r="N1" s="125"/>
      <c r="O1" s="125"/>
    </row>
    <row r="2" spans="1:15">
      <c r="A2" s="59" t="s">
        <v>49</v>
      </c>
      <c r="B2" s="59" t="s">
        <v>50</v>
      </c>
      <c r="C2" s="59" t="s">
        <v>56</v>
      </c>
      <c r="D2" s="59" t="s">
        <v>57</v>
      </c>
      <c r="E2" s="59" t="s">
        <v>60</v>
      </c>
      <c r="F2" s="59" t="s">
        <v>51</v>
      </c>
      <c r="G2" s="59" t="s">
        <v>55</v>
      </c>
      <c r="I2" s="59" t="s">
        <v>49</v>
      </c>
      <c r="J2" s="59" t="s">
        <v>62</v>
      </c>
      <c r="K2" s="59" t="s">
        <v>56</v>
      </c>
      <c r="L2" s="59" t="s">
        <v>57</v>
      </c>
      <c r="M2" s="59" t="s">
        <v>60</v>
      </c>
      <c r="N2" s="59" t="s">
        <v>51</v>
      </c>
      <c r="O2" s="59" t="s">
        <v>55</v>
      </c>
    </row>
    <row r="3" spans="1:15">
      <c r="A3" s="53">
        <v>46082</v>
      </c>
      <c r="B3" s="36" t="s">
        <v>53</v>
      </c>
      <c r="C3" s="36">
        <v>237.60599999999999</v>
      </c>
      <c r="D3" s="36"/>
      <c r="E3" s="36"/>
      <c r="F3" s="54">
        <v>10670</v>
      </c>
      <c r="G3" s="55">
        <f>+C3*F3</f>
        <v>2535256.02</v>
      </c>
      <c r="I3" s="36"/>
      <c r="J3" s="61" t="s">
        <v>63</v>
      </c>
      <c r="K3" s="54"/>
      <c r="L3" s="54">
        <v>216.37</v>
      </c>
      <c r="M3" s="54"/>
      <c r="N3" s="55">
        <v>16947</v>
      </c>
      <c r="O3" s="55">
        <f>+L3*N3</f>
        <v>3666822.39</v>
      </c>
    </row>
    <row r="4" spans="1:15">
      <c r="A4" s="53">
        <v>46082</v>
      </c>
      <c r="B4" s="36" t="s">
        <v>54</v>
      </c>
      <c r="C4" s="36"/>
      <c r="D4" s="36">
        <v>5</v>
      </c>
      <c r="E4" s="36"/>
      <c r="F4" s="54">
        <v>15860</v>
      </c>
      <c r="G4" s="55">
        <f>+D4*F4</f>
        <v>79300</v>
      </c>
      <c r="I4" s="36"/>
      <c r="J4" s="36"/>
      <c r="K4" s="54">
        <v>10248.120000000001</v>
      </c>
      <c r="L4" s="54"/>
      <c r="M4" s="54"/>
      <c r="N4" s="55">
        <v>11105</v>
      </c>
      <c r="O4" s="55">
        <f>+K4*N4</f>
        <v>113805372.60000001</v>
      </c>
    </row>
    <row r="5" spans="1:15">
      <c r="A5" s="53">
        <v>46083</v>
      </c>
      <c r="B5" s="57">
        <v>82344</v>
      </c>
      <c r="C5" s="36">
        <v>326.97800000000001</v>
      </c>
      <c r="D5" s="36"/>
      <c r="E5" s="36"/>
      <c r="F5" s="54">
        <v>10670</v>
      </c>
      <c r="G5" s="55">
        <f>+C5*F5</f>
        <v>3488855.2600000002</v>
      </c>
      <c r="I5" s="36"/>
      <c r="J5" s="36"/>
      <c r="K5" s="54"/>
      <c r="L5" s="54"/>
      <c r="M5" s="54">
        <v>522.13</v>
      </c>
      <c r="N5" s="55">
        <v>3695</v>
      </c>
      <c r="O5" s="64">
        <f>+M5*N5</f>
        <v>1929270.35</v>
      </c>
    </row>
    <row r="6" spans="1:15">
      <c r="A6" s="53">
        <v>46083</v>
      </c>
      <c r="B6" s="57">
        <v>82347</v>
      </c>
      <c r="C6" s="36">
        <v>159.04400000000001</v>
      </c>
      <c r="D6" s="36"/>
      <c r="E6" s="36"/>
      <c r="F6" s="54">
        <v>10670</v>
      </c>
      <c r="G6" s="55">
        <f>+C6*F6</f>
        <v>1696999.4800000002</v>
      </c>
      <c r="I6" s="36"/>
      <c r="J6" s="36"/>
      <c r="K6" s="54"/>
      <c r="L6" s="54"/>
      <c r="M6" s="54"/>
      <c r="N6" s="55"/>
      <c r="O6" s="63">
        <f>SUM(O3:O5)</f>
        <v>119401465.34</v>
      </c>
    </row>
    <row r="7" spans="1:15">
      <c r="A7" s="53">
        <v>46083</v>
      </c>
      <c r="B7" s="57">
        <v>1609</v>
      </c>
      <c r="C7" s="36"/>
      <c r="D7" s="36"/>
      <c r="E7" s="36">
        <v>40.216999999999999</v>
      </c>
      <c r="F7" s="54">
        <v>3500</v>
      </c>
      <c r="G7" s="55">
        <f>+E7*F7</f>
        <v>140759.5</v>
      </c>
      <c r="I7" s="36"/>
      <c r="J7" s="61" t="s">
        <v>64</v>
      </c>
      <c r="K7" s="54"/>
      <c r="L7" s="54">
        <v>56.35</v>
      </c>
      <c r="M7" s="54"/>
      <c r="N7" s="55">
        <v>15560</v>
      </c>
      <c r="O7" s="55">
        <f>+L7*N7</f>
        <v>876806</v>
      </c>
    </row>
    <row r="8" spans="1:15">
      <c r="A8" s="53">
        <v>46083</v>
      </c>
      <c r="B8" s="57">
        <v>82350</v>
      </c>
      <c r="C8" s="36">
        <v>307.75299999999999</v>
      </c>
      <c r="D8" s="36"/>
      <c r="E8" s="36"/>
      <c r="F8" s="54">
        <v>10670</v>
      </c>
      <c r="G8" s="55">
        <f>+C8*F8</f>
        <v>3283724.51</v>
      </c>
      <c r="I8" s="36"/>
      <c r="J8" s="36"/>
      <c r="K8" s="54">
        <v>440</v>
      </c>
      <c r="L8" s="54"/>
      <c r="M8" s="54"/>
      <c r="N8" s="55">
        <v>11150</v>
      </c>
      <c r="O8" s="55">
        <f>+K8*N8</f>
        <v>4906000</v>
      </c>
    </row>
    <row r="9" spans="1:15">
      <c r="A9" s="53">
        <v>46084</v>
      </c>
      <c r="B9" s="58">
        <v>82392</v>
      </c>
      <c r="C9" s="36">
        <v>350.75400000000002</v>
      </c>
      <c r="D9" s="36"/>
      <c r="E9" s="36"/>
      <c r="F9" s="54">
        <v>10670</v>
      </c>
      <c r="G9" s="55">
        <f>+C9*F9</f>
        <v>3742545.18</v>
      </c>
      <c r="I9" s="36"/>
      <c r="J9" s="36"/>
      <c r="K9" s="54"/>
      <c r="L9" s="54"/>
      <c r="M9" s="54"/>
      <c r="N9" s="55"/>
      <c r="O9" s="63">
        <f>SUM(O7:O8)</f>
        <v>5782806</v>
      </c>
    </row>
    <row r="10" spans="1:15">
      <c r="A10" s="53">
        <v>46084</v>
      </c>
      <c r="B10" s="58">
        <v>82405</v>
      </c>
      <c r="C10" s="36">
        <v>358.51100000000002</v>
      </c>
      <c r="D10" s="36"/>
      <c r="E10" s="36"/>
      <c r="F10" s="54">
        <v>10670</v>
      </c>
      <c r="G10" s="55">
        <f>+C10*F10</f>
        <v>3825312.37</v>
      </c>
      <c r="I10" s="36"/>
      <c r="J10" s="61" t="s">
        <v>65</v>
      </c>
      <c r="K10" s="54"/>
      <c r="L10" s="54">
        <v>1300</v>
      </c>
      <c r="M10" s="54"/>
      <c r="N10" s="55">
        <v>15390</v>
      </c>
      <c r="O10" s="55">
        <f>+L10*N10</f>
        <v>20007000</v>
      </c>
    </row>
    <row r="11" spans="1:15">
      <c r="A11" s="53">
        <v>46084</v>
      </c>
      <c r="B11" s="58">
        <v>1620</v>
      </c>
      <c r="C11" s="36"/>
      <c r="D11" s="36"/>
      <c r="E11" s="36">
        <v>40.133000000000003</v>
      </c>
      <c r="F11" s="54">
        <v>3500</v>
      </c>
      <c r="G11" s="55">
        <f>+E11*F11</f>
        <v>140465.5</v>
      </c>
      <c r="I11" s="36"/>
      <c r="J11" s="36"/>
      <c r="K11" s="54">
        <v>1116.75</v>
      </c>
      <c r="L11" s="54"/>
      <c r="M11" s="54"/>
      <c r="N11" s="55">
        <v>10967</v>
      </c>
      <c r="O11" s="55">
        <f>+K11*N11</f>
        <v>12247397.25</v>
      </c>
    </row>
    <row r="12" spans="1:15">
      <c r="A12" s="53">
        <v>46084</v>
      </c>
      <c r="B12" s="58">
        <v>82423</v>
      </c>
      <c r="C12" s="36">
        <v>319.07400000000001</v>
      </c>
      <c r="D12" s="36"/>
      <c r="E12" s="36"/>
      <c r="F12" s="54">
        <v>10670</v>
      </c>
      <c r="G12" s="55">
        <f>+C12*F12</f>
        <v>3404519.58</v>
      </c>
      <c r="I12" s="36"/>
      <c r="J12" s="36"/>
      <c r="K12" s="54"/>
      <c r="L12" s="54"/>
      <c r="M12" s="54"/>
      <c r="N12" s="55"/>
      <c r="O12" s="63">
        <f>SUM(O10:O11)</f>
        <v>32254397.25</v>
      </c>
    </row>
    <row r="13" spans="1:15">
      <c r="A13" s="53">
        <v>46085</v>
      </c>
      <c r="B13" s="58">
        <v>82474</v>
      </c>
      <c r="C13" s="36">
        <v>274.38499999999999</v>
      </c>
      <c r="D13" s="36"/>
      <c r="E13" s="36"/>
      <c r="F13" s="54">
        <v>10670</v>
      </c>
      <c r="G13" s="55">
        <f>+C13*F13</f>
        <v>2927687.9499999997</v>
      </c>
      <c r="I13" s="36"/>
      <c r="J13" s="61" t="s">
        <v>66</v>
      </c>
      <c r="K13" s="54"/>
      <c r="L13" s="54">
        <v>297.07</v>
      </c>
      <c r="M13" s="54"/>
      <c r="N13" s="55">
        <v>15652</v>
      </c>
      <c r="O13" s="55">
        <f>+L13*N13</f>
        <v>4649739.6399999997</v>
      </c>
    </row>
    <row r="14" spans="1:15">
      <c r="A14" s="53">
        <v>46085</v>
      </c>
      <c r="B14" s="58">
        <v>82487</v>
      </c>
      <c r="C14" s="36">
        <v>257.41000000000003</v>
      </c>
      <c r="D14" s="36"/>
      <c r="E14" s="36"/>
      <c r="F14" s="54">
        <v>10670</v>
      </c>
      <c r="G14" s="55">
        <f>+C14*F14</f>
        <v>2746564.7</v>
      </c>
      <c r="I14" s="36"/>
      <c r="J14" s="36"/>
      <c r="K14" s="54">
        <v>1557.49</v>
      </c>
      <c r="L14" s="54"/>
      <c r="M14" s="54"/>
      <c r="N14" s="55">
        <v>11101</v>
      </c>
      <c r="O14" s="55">
        <f>+K14*N14</f>
        <v>17289696.489999998</v>
      </c>
    </row>
    <row r="15" spans="1:15">
      <c r="A15" s="53">
        <v>46085</v>
      </c>
      <c r="B15" s="58">
        <v>1628</v>
      </c>
      <c r="C15" s="36"/>
      <c r="D15" s="36"/>
      <c r="E15" s="36">
        <v>20.283000000000001</v>
      </c>
      <c r="F15" s="54">
        <v>3500</v>
      </c>
      <c r="G15" s="55">
        <f>+E15*F15</f>
        <v>70990.5</v>
      </c>
      <c r="I15" s="36"/>
      <c r="J15" s="36"/>
      <c r="K15" s="54"/>
      <c r="L15" s="54"/>
      <c r="M15" s="54"/>
      <c r="N15" s="55"/>
      <c r="O15" s="63">
        <f>SUM(O13:O14)</f>
        <v>21939436.129999999</v>
      </c>
    </row>
    <row r="16" spans="1:15">
      <c r="A16" s="53">
        <v>46085</v>
      </c>
      <c r="B16" s="58">
        <v>82500</v>
      </c>
      <c r="C16" s="36">
        <v>247.249</v>
      </c>
      <c r="D16" s="36"/>
      <c r="E16" s="36"/>
      <c r="F16" s="54">
        <v>10670</v>
      </c>
      <c r="G16" s="55">
        <f>+C16*F16</f>
        <v>2638146.83</v>
      </c>
      <c r="I16" s="36"/>
      <c r="J16" s="61" t="s">
        <v>67</v>
      </c>
      <c r="K16" s="54"/>
      <c r="L16" s="54">
        <v>1088.6300000000001</v>
      </c>
      <c r="M16" s="54"/>
      <c r="N16" s="55">
        <v>15591</v>
      </c>
      <c r="O16" s="55">
        <f>+L16*N16</f>
        <v>16972830.330000002</v>
      </c>
    </row>
    <row r="17" spans="1:15">
      <c r="A17" s="53">
        <v>46085</v>
      </c>
      <c r="B17" s="58">
        <v>1631</v>
      </c>
      <c r="C17" s="36"/>
      <c r="D17" s="36"/>
      <c r="E17" s="36">
        <v>1.883</v>
      </c>
      <c r="F17" s="54">
        <v>3500</v>
      </c>
      <c r="G17" s="55">
        <f>+E17*F17</f>
        <v>6590.5</v>
      </c>
      <c r="I17" s="36"/>
      <c r="J17" s="36"/>
      <c r="K17" s="54">
        <v>996</v>
      </c>
      <c r="L17" s="54"/>
      <c r="M17" s="54"/>
      <c r="N17" s="55">
        <v>11100</v>
      </c>
      <c r="O17" s="55">
        <f>+K17*N17</f>
        <v>11055600</v>
      </c>
    </row>
    <row r="18" spans="1:15">
      <c r="A18" s="53">
        <v>46085</v>
      </c>
      <c r="B18" s="58">
        <v>311403</v>
      </c>
      <c r="C18" s="36">
        <v>17.835999999999999</v>
      </c>
      <c r="D18" s="36"/>
      <c r="E18" s="36"/>
      <c r="F18" s="54">
        <v>10670</v>
      </c>
      <c r="G18" s="55">
        <f>+C18*F18</f>
        <v>190310.12</v>
      </c>
      <c r="I18" s="36"/>
      <c r="J18" s="36"/>
      <c r="K18" s="54"/>
      <c r="L18" s="54"/>
      <c r="M18" s="54"/>
      <c r="N18" s="55"/>
      <c r="O18" s="63">
        <f>SUM(O16:O17)</f>
        <v>28028430.330000002</v>
      </c>
    </row>
    <row r="19" spans="1:15">
      <c r="A19" s="53">
        <v>46086</v>
      </c>
      <c r="B19" s="58">
        <v>82577</v>
      </c>
      <c r="C19" s="36">
        <v>358.315</v>
      </c>
      <c r="D19" s="36"/>
      <c r="E19" s="36"/>
      <c r="F19" s="54">
        <v>10670</v>
      </c>
      <c r="G19" s="55">
        <f>+C19*F19</f>
        <v>3823221.05</v>
      </c>
      <c r="I19" s="36"/>
      <c r="J19" s="61" t="s">
        <v>68</v>
      </c>
      <c r="K19" s="54"/>
      <c r="L19" s="54">
        <v>355.98</v>
      </c>
      <c r="M19" s="54"/>
      <c r="N19" s="55">
        <v>15691</v>
      </c>
      <c r="O19" s="55">
        <f>+L19*N19</f>
        <v>5585682.1800000006</v>
      </c>
    </row>
    <row r="20" spans="1:15">
      <c r="A20" s="53">
        <v>46086</v>
      </c>
      <c r="B20" s="58">
        <v>98573</v>
      </c>
      <c r="C20" s="36">
        <v>328.21600000000001</v>
      </c>
      <c r="D20" s="36"/>
      <c r="E20" s="36"/>
      <c r="F20" s="54">
        <v>10670</v>
      </c>
      <c r="G20" s="55">
        <f>+C20*F20</f>
        <v>3502064.72</v>
      </c>
      <c r="I20" s="36"/>
      <c r="J20" s="36"/>
      <c r="K20" s="54">
        <v>1391.64</v>
      </c>
      <c r="L20" s="54"/>
      <c r="M20" s="54"/>
      <c r="N20" s="55">
        <v>11147</v>
      </c>
      <c r="O20" s="55">
        <f>+K20*N20</f>
        <v>15512611.080000002</v>
      </c>
    </row>
    <row r="21" spans="1:15">
      <c r="A21" s="53">
        <v>46086</v>
      </c>
      <c r="B21" s="58">
        <v>82596</v>
      </c>
      <c r="C21" s="36">
        <v>353.55700000000002</v>
      </c>
      <c r="D21" s="36"/>
      <c r="E21" s="36"/>
      <c r="F21" s="54">
        <v>10670</v>
      </c>
      <c r="G21" s="55">
        <f>+C21*F21</f>
        <v>3772453.19</v>
      </c>
      <c r="I21" s="36"/>
      <c r="J21" s="36"/>
      <c r="K21" s="54"/>
      <c r="L21" s="54"/>
      <c r="M21" s="54"/>
      <c r="N21" s="55"/>
      <c r="O21" s="63">
        <f>SUM(O19:O20)</f>
        <v>21098293.260000002</v>
      </c>
    </row>
    <row r="22" spans="1:15">
      <c r="A22" s="53">
        <v>46086</v>
      </c>
      <c r="B22" s="58">
        <v>1639</v>
      </c>
      <c r="C22" s="36"/>
      <c r="D22" s="36"/>
      <c r="E22" s="36">
        <v>40.116999999999997</v>
      </c>
      <c r="F22" s="54">
        <v>3500</v>
      </c>
      <c r="G22" s="55">
        <f>+E22*F22</f>
        <v>140409.5</v>
      </c>
      <c r="I22" s="36"/>
      <c r="J22" s="61" t="s">
        <v>69</v>
      </c>
      <c r="K22" s="54"/>
      <c r="L22" s="54">
        <v>10.72</v>
      </c>
      <c r="M22" s="54"/>
      <c r="N22" s="55">
        <v>15572</v>
      </c>
      <c r="O22" s="55">
        <f>+L22*N22</f>
        <v>166931.84</v>
      </c>
    </row>
    <row r="23" spans="1:15">
      <c r="A23" s="53">
        <v>46086</v>
      </c>
      <c r="B23" s="58">
        <v>82603</v>
      </c>
      <c r="C23" s="36">
        <v>308.291</v>
      </c>
      <c r="D23" s="36"/>
      <c r="E23" s="36"/>
      <c r="F23" s="54">
        <v>10670</v>
      </c>
      <c r="G23" s="55">
        <f>+C23*F23</f>
        <v>3289464.9699999997</v>
      </c>
      <c r="I23" s="36"/>
      <c r="J23" s="36"/>
      <c r="K23" s="54">
        <v>600</v>
      </c>
      <c r="L23" s="54"/>
      <c r="M23" s="54"/>
      <c r="N23" s="55">
        <v>10970</v>
      </c>
      <c r="O23" s="55">
        <f>+K23*N23</f>
        <v>6582000</v>
      </c>
    </row>
    <row r="24" spans="1:15">
      <c r="A24" s="53">
        <v>46086</v>
      </c>
      <c r="B24" s="58">
        <v>82610</v>
      </c>
      <c r="C24" s="36">
        <v>269.40699999999998</v>
      </c>
      <c r="D24" s="36"/>
      <c r="E24" s="36"/>
      <c r="F24" s="54">
        <v>10670</v>
      </c>
      <c r="G24" s="55">
        <f>+C24*F24</f>
        <v>2874572.69</v>
      </c>
      <c r="I24" s="36"/>
      <c r="J24" s="36"/>
      <c r="K24" s="54"/>
      <c r="L24" s="54"/>
      <c r="M24" s="54"/>
      <c r="N24" s="55"/>
      <c r="O24" s="63">
        <f>SUM(O22:O23)</f>
        <v>6748931.8399999999</v>
      </c>
    </row>
    <row r="25" spans="1:15">
      <c r="A25" s="53">
        <v>44991</v>
      </c>
      <c r="B25" s="58">
        <v>82676</v>
      </c>
      <c r="C25" s="36">
        <v>357.00299999999999</v>
      </c>
      <c r="D25" s="36"/>
      <c r="E25" s="36"/>
      <c r="F25" s="54">
        <v>10670</v>
      </c>
      <c r="G25" s="55">
        <f>+C25*F25</f>
        <v>3809222.01</v>
      </c>
      <c r="I25" s="36"/>
      <c r="J25" s="61" t="s">
        <v>70</v>
      </c>
      <c r="K25" s="54">
        <v>2160</v>
      </c>
      <c r="L25" s="54"/>
      <c r="M25" s="54"/>
      <c r="N25" s="55">
        <v>11900</v>
      </c>
      <c r="O25" s="63">
        <f>+K25*N25</f>
        <v>25704000</v>
      </c>
    </row>
    <row r="26" spans="1:15">
      <c r="A26" s="53">
        <v>44991</v>
      </c>
      <c r="B26" s="58">
        <v>82685</v>
      </c>
      <c r="C26" s="36">
        <v>316.476</v>
      </c>
      <c r="D26" s="36"/>
      <c r="E26" s="36"/>
      <c r="F26" s="54">
        <v>10670</v>
      </c>
      <c r="G26" s="55">
        <f>+C26*F26</f>
        <v>3376798.92</v>
      </c>
      <c r="I26" s="36"/>
      <c r="J26" s="36"/>
      <c r="K26" s="54"/>
      <c r="L26" s="54"/>
      <c r="M26" s="54"/>
      <c r="N26" s="55"/>
      <c r="O26" s="55"/>
    </row>
    <row r="27" spans="1:15">
      <c r="A27" s="53">
        <v>46088</v>
      </c>
      <c r="B27" s="58">
        <v>82737</v>
      </c>
      <c r="C27" s="36">
        <v>97.241</v>
      </c>
      <c r="D27" s="36"/>
      <c r="E27" s="36"/>
      <c r="F27" s="54">
        <v>10670</v>
      </c>
      <c r="G27" s="55">
        <f>+C27*F27</f>
        <v>1037561.47</v>
      </c>
      <c r="I27" s="36"/>
      <c r="J27" s="61" t="s">
        <v>71</v>
      </c>
      <c r="K27" s="54">
        <v>21614.74</v>
      </c>
      <c r="L27" s="54"/>
      <c r="M27" s="54"/>
      <c r="N27" s="55">
        <v>10670</v>
      </c>
      <c r="O27" s="63">
        <f>+K27*N27</f>
        <v>230629275.80000001</v>
      </c>
    </row>
    <row r="28" spans="1:15">
      <c r="A28" s="53">
        <v>46088</v>
      </c>
      <c r="B28" s="58">
        <v>1658</v>
      </c>
      <c r="C28" s="36"/>
      <c r="D28" s="36"/>
      <c r="E28" s="36">
        <v>40.482999999999997</v>
      </c>
      <c r="F28" s="54">
        <v>3500</v>
      </c>
      <c r="G28" s="55">
        <f>+E28*F28</f>
        <v>141690.5</v>
      </c>
      <c r="I28" s="36"/>
      <c r="J28" s="36"/>
      <c r="K28" s="54"/>
      <c r="L28" s="54"/>
      <c r="M28" s="54"/>
      <c r="N28" s="55"/>
      <c r="O28" s="55"/>
    </row>
    <row r="29" spans="1:15">
      <c r="A29" s="53">
        <v>46088</v>
      </c>
      <c r="B29" s="58">
        <v>98734</v>
      </c>
      <c r="C29" s="36">
        <v>340.49900000000002</v>
      </c>
      <c r="D29" s="36"/>
      <c r="E29" s="36"/>
      <c r="F29" s="54">
        <v>10670</v>
      </c>
      <c r="G29" s="55">
        <f>+C29*F29</f>
        <v>3633124.33</v>
      </c>
      <c r="I29" s="36"/>
      <c r="J29" s="61" t="s">
        <v>76</v>
      </c>
      <c r="K29" s="54"/>
      <c r="L29" s="54"/>
      <c r="M29" s="54"/>
      <c r="N29" s="55"/>
      <c r="O29" s="55"/>
    </row>
    <row r="30" spans="1:15">
      <c r="A30" s="53">
        <v>46088</v>
      </c>
      <c r="B30" s="58">
        <v>98739</v>
      </c>
      <c r="C30" s="36">
        <v>228.57400000000001</v>
      </c>
      <c r="D30" s="36"/>
      <c r="E30" s="36"/>
      <c r="F30" s="54">
        <v>10670</v>
      </c>
      <c r="G30" s="55">
        <f>+C30*F30</f>
        <v>2438884.58</v>
      </c>
      <c r="I30" s="36"/>
      <c r="J30" s="36" t="s">
        <v>56</v>
      </c>
      <c r="K30" s="54">
        <f>+K4+K8+K11+K14+K17+K20+K23+K25+K27</f>
        <v>40124.740000000005</v>
      </c>
      <c r="L30" s="54"/>
      <c r="M30" s="54"/>
      <c r="N30" s="55"/>
      <c r="O30" s="55"/>
    </row>
    <row r="31" spans="1:15">
      <c r="A31" s="53">
        <v>46088</v>
      </c>
      <c r="B31" s="58">
        <v>82748</v>
      </c>
      <c r="C31" s="36">
        <v>144.04400000000001</v>
      </c>
      <c r="D31" s="36"/>
      <c r="E31" s="36"/>
      <c r="F31" s="54">
        <v>10670</v>
      </c>
      <c r="G31" s="55">
        <f>+C31*F31</f>
        <v>1536949.4800000002</v>
      </c>
      <c r="I31" s="36"/>
      <c r="J31" s="36" t="s">
        <v>57</v>
      </c>
      <c r="K31" s="54">
        <f>+L3+L7+L10+L13+L16+L19+L22</f>
        <v>3325.12</v>
      </c>
      <c r="L31" s="54"/>
      <c r="M31" s="54"/>
      <c r="N31" s="55"/>
      <c r="O31" s="55"/>
    </row>
    <row r="32" spans="1:15">
      <c r="A32" s="53">
        <v>46088</v>
      </c>
      <c r="B32" s="58">
        <v>82751</v>
      </c>
      <c r="C32" s="36">
        <v>295.81200000000001</v>
      </c>
      <c r="D32" s="36"/>
      <c r="E32" s="36"/>
      <c r="F32" s="54">
        <v>10670</v>
      </c>
      <c r="G32" s="55">
        <f>+C32*F32</f>
        <v>3156314.04</v>
      </c>
      <c r="I32" s="36"/>
      <c r="J32" s="36" t="s">
        <v>77</v>
      </c>
      <c r="K32" s="54">
        <f>+M5</f>
        <v>522.13</v>
      </c>
      <c r="L32" s="54"/>
      <c r="M32" s="54"/>
      <c r="N32" s="55"/>
      <c r="O32" s="55"/>
    </row>
    <row r="33" spans="1:15">
      <c r="A33" s="53">
        <v>46089</v>
      </c>
      <c r="B33" s="58">
        <v>1669</v>
      </c>
      <c r="C33" s="36"/>
      <c r="D33" s="36"/>
      <c r="E33" s="36">
        <v>80.150000000000006</v>
      </c>
      <c r="F33" s="54">
        <v>3500</v>
      </c>
      <c r="G33" s="55">
        <f>+E33*F33</f>
        <v>280525</v>
      </c>
      <c r="I33" s="36"/>
      <c r="J33" s="36"/>
      <c r="K33" s="54"/>
      <c r="L33" s="54"/>
      <c r="M33" s="54"/>
      <c r="N33" s="55"/>
      <c r="O33" s="55"/>
    </row>
    <row r="34" spans="1:15">
      <c r="A34" s="53">
        <v>46089</v>
      </c>
      <c r="B34" s="58">
        <v>98786</v>
      </c>
      <c r="C34" s="36">
        <v>337.55200000000002</v>
      </c>
      <c r="D34" s="36"/>
      <c r="E34" s="36"/>
      <c r="F34" s="54">
        <v>10670</v>
      </c>
      <c r="G34" s="55">
        <f>+C34*F34</f>
        <v>3601679.8400000003</v>
      </c>
      <c r="I34" s="36"/>
      <c r="J34" s="36"/>
      <c r="K34" s="54"/>
      <c r="L34" s="54"/>
      <c r="M34" s="54"/>
      <c r="N34" s="55"/>
      <c r="O34" s="55"/>
    </row>
    <row r="35" spans="1:15">
      <c r="A35" s="53">
        <v>46090</v>
      </c>
      <c r="B35" s="58">
        <v>82822</v>
      </c>
      <c r="C35" s="36">
        <v>356.77800000000002</v>
      </c>
      <c r="D35" s="36"/>
      <c r="E35" s="36"/>
      <c r="F35" s="54">
        <v>10670</v>
      </c>
      <c r="G35" s="55">
        <f>+C35*F35</f>
        <v>3806821.2600000002</v>
      </c>
      <c r="I35" s="36"/>
      <c r="J35" s="36"/>
      <c r="K35" s="54"/>
      <c r="L35" s="54"/>
      <c r="M35" s="54"/>
      <c r="N35" s="55"/>
      <c r="O35" s="55"/>
    </row>
    <row r="36" spans="1:15">
      <c r="A36" s="53">
        <v>46090</v>
      </c>
      <c r="B36" s="58">
        <v>98832</v>
      </c>
      <c r="C36" s="36">
        <v>245.24299999999999</v>
      </c>
      <c r="D36" s="36"/>
      <c r="E36" s="36"/>
      <c r="F36" s="54">
        <v>10670</v>
      </c>
      <c r="G36" s="55">
        <f>+C36*F36</f>
        <v>2616742.81</v>
      </c>
      <c r="I36" s="36"/>
      <c r="J36" s="36"/>
      <c r="K36" s="54"/>
      <c r="L36" s="54"/>
      <c r="M36" s="54"/>
      <c r="N36" s="55"/>
      <c r="O36" s="55"/>
    </row>
    <row r="37" spans="1:15">
      <c r="A37" s="53">
        <v>46090</v>
      </c>
      <c r="B37" s="58">
        <v>82837</v>
      </c>
      <c r="C37" s="2">
        <v>354.74099999999999</v>
      </c>
      <c r="D37" s="36"/>
      <c r="E37" s="36"/>
      <c r="F37" s="54">
        <v>10670</v>
      </c>
      <c r="G37" s="55">
        <f>+C37*F37</f>
        <v>3785086.4699999997</v>
      </c>
      <c r="I37" s="36"/>
      <c r="J37" s="36"/>
      <c r="K37" s="54"/>
      <c r="L37" s="54"/>
      <c r="M37" s="54"/>
      <c r="N37" s="55"/>
      <c r="O37" s="55"/>
    </row>
    <row r="38" spans="1:15">
      <c r="A38" s="53">
        <v>46091</v>
      </c>
      <c r="B38" s="58">
        <v>1689</v>
      </c>
      <c r="C38" s="36"/>
      <c r="D38" s="36"/>
      <c r="E38" s="36">
        <v>18.033000000000001</v>
      </c>
      <c r="F38" s="54">
        <v>3500</v>
      </c>
      <c r="G38" s="55">
        <f>+E38*F38</f>
        <v>63115.500000000007</v>
      </c>
      <c r="I38" s="36"/>
      <c r="J38" s="36"/>
      <c r="K38" s="54"/>
      <c r="L38" s="54"/>
      <c r="M38" s="54"/>
      <c r="N38" s="55"/>
      <c r="O38" s="55"/>
    </row>
    <row r="39" spans="1:15">
      <c r="A39" s="53">
        <v>46091</v>
      </c>
      <c r="B39" s="58">
        <v>82915</v>
      </c>
      <c r="C39" s="36">
        <v>284.01900000000001</v>
      </c>
      <c r="D39" s="36"/>
      <c r="E39" s="36"/>
      <c r="F39" s="54">
        <v>10670</v>
      </c>
      <c r="G39" s="55">
        <f>+C39*F39</f>
        <v>3030482.73</v>
      </c>
      <c r="I39" s="36"/>
      <c r="J39" s="36"/>
      <c r="K39" s="54"/>
      <c r="L39" s="54"/>
      <c r="M39" s="54"/>
      <c r="N39" s="55"/>
      <c r="O39" s="55"/>
    </row>
    <row r="40" spans="1:15">
      <c r="A40" s="53">
        <v>46091</v>
      </c>
      <c r="B40" s="58">
        <v>82926</v>
      </c>
      <c r="C40" s="36">
        <v>352.07100000000003</v>
      </c>
      <c r="D40" s="36"/>
      <c r="E40" s="36"/>
      <c r="F40" s="54">
        <v>10670</v>
      </c>
      <c r="G40" s="55">
        <f>+C40*F40</f>
        <v>3756597.5700000003</v>
      </c>
      <c r="I40" s="36"/>
      <c r="J40" s="36"/>
      <c r="K40" s="54"/>
      <c r="L40" s="54"/>
      <c r="M40" s="54"/>
      <c r="N40" s="55"/>
      <c r="O40" s="55"/>
    </row>
    <row r="41" spans="1:15">
      <c r="A41" s="53">
        <v>46092</v>
      </c>
      <c r="B41" s="58">
        <v>82994</v>
      </c>
      <c r="C41" s="36">
        <v>359.53899999999999</v>
      </c>
      <c r="D41" s="36"/>
      <c r="E41" s="36"/>
      <c r="F41" s="54">
        <v>10670</v>
      </c>
      <c r="G41" s="55">
        <f>+C41*F41</f>
        <v>3836281.13</v>
      </c>
      <c r="I41" s="36"/>
      <c r="J41" s="36"/>
      <c r="K41" s="54"/>
      <c r="L41" s="54"/>
      <c r="M41" s="54"/>
      <c r="N41" s="55"/>
      <c r="O41" s="55"/>
    </row>
    <row r="42" spans="1:15">
      <c r="A42" s="53">
        <v>46092</v>
      </c>
      <c r="B42" s="58">
        <v>83004</v>
      </c>
      <c r="C42" s="36">
        <v>188.52199999999999</v>
      </c>
      <c r="D42" s="36"/>
      <c r="E42" s="36"/>
      <c r="F42" s="54">
        <v>10670</v>
      </c>
      <c r="G42" s="55">
        <f>+C42*F42</f>
        <v>2011529.74</v>
      </c>
      <c r="I42" s="36"/>
      <c r="J42" s="36"/>
      <c r="K42" s="54"/>
      <c r="L42" s="54"/>
      <c r="M42" s="54"/>
      <c r="N42" s="55"/>
      <c r="O42" s="55"/>
    </row>
    <row r="43" spans="1:15">
      <c r="A43" s="53">
        <v>46093</v>
      </c>
      <c r="B43" s="58">
        <v>1711</v>
      </c>
      <c r="C43" s="36"/>
      <c r="D43" s="36"/>
      <c r="E43" s="36">
        <v>39.292000000000002</v>
      </c>
      <c r="F43" s="54">
        <v>3500</v>
      </c>
      <c r="G43" s="55">
        <f>+E43*F43</f>
        <v>137522</v>
      </c>
      <c r="I43" s="36"/>
      <c r="J43" s="36"/>
      <c r="K43" s="54"/>
      <c r="L43" s="54"/>
      <c r="M43" s="54"/>
      <c r="N43" s="55"/>
      <c r="O43" s="55"/>
    </row>
    <row r="44" spans="1:15">
      <c r="A44" s="53">
        <v>46093</v>
      </c>
      <c r="B44" s="58">
        <v>83068</v>
      </c>
      <c r="C44" s="36">
        <v>355.98099999999999</v>
      </c>
      <c r="D44" s="36"/>
      <c r="E44" s="36"/>
      <c r="F44" s="54">
        <v>10670</v>
      </c>
      <c r="G44" s="55">
        <f>+C44*F44</f>
        <v>3798317.27</v>
      </c>
      <c r="I44" s="36"/>
      <c r="J44" s="36"/>
      <c r="K44" s="54"/>
      <c r="L44" s="54"/>
      <c r="M44" s="54"/>
      <c r="N44" s="55"/>
      <c r="O44" s="55"/>
    </row>
    <row r="45" spans="1:15">
      <c r="A45" s="53">
        <v>46093</v>
      </c>
      <c r="B45" s="58">
        <v>99070</v>
      </c>
      <c r="C45" s="36">
        <v>319.928</v>
      </c>
      <c r="D45" s="36"/>
      <c r="E45" s="36"/>
      <c r="F45" s="54">
        <v>10670</v>
      </c>
      <c r="G45" s="55">
        <f>+C45*F45</f>
        <v>3413631.76</v>
      </c>
      <c r="I45" s="36"/>
      <c r="J45" s="36"/>
      <c r="K45" s="54"/>
      <c r="L45" s="54"/>
      <c r="M45" s="54"/>
      <c r="N45" s="55"/>
      <c r="O45" s="55"/>
    </row>
    <row r="46" spans="1:15">
      <c r="A46" s="53">
        <v>46093</v>
      </c>
      <c r="B46" s="58">
        <v>1716</v>
      </c>
      <c r="C46" s="36"/>
      <c r="D46" s="36"/>
      <c r="E46" s="36">
        <v>40.216999999999999</v>
      </c>
      <c r="F46" s="54">
        <v>3500</v>
      </c>
      <c r="G46" s="55">
        <f>+E46*F46</f>
        <v>140759.5</v>
      </c>
      <c r="I46" s="36"/>
      <c r="J46" s="36"/>
      <c r="K46" s="54"/>
      <c r="L46" s="54"/>
      <c r="M46" s="54"/>
      <c r="N46" s="55"/>
      <c r="O46" s="55"/>
    </row>
    <row r="47" spans="1:15">
      <c r="A47" s="53">
        <v>46093</v>
      </c>
      <c r="B47" s="58">
        <v>83103</v>
      </c>
      <c r="C47" s="36">
        <v>343.53500000000003</v>
      </c>
      <c r="D47" s="36"/>
      <c r="E47" s="36"/>
      <c r="F47" s="54">
        <v>10670</v>
      </c>
      <c r="G47" s="55">
        <f>+C47*F47</f>
        <v>3665518.45</v>
      </c>
      <c r="I47" s="36"/>
      <c r="J47" s="36"/>
      <c r="K47" s="54"/>
      <c r="L47" s="54"/>
      <c r="M47" s="54"/>
      <c r="N47" s="55"/>
      <c r="O47" s="55"/>
    </row>
    <row r="48" spans="1:15">
      <c r="A48" s="53">
        <v>46094</v>
      </c>
      <c r="B48" s="58">
        <v>1727</v>
      </c>
      <c r="C48" s="36"/>
      <c r="D48" s="36"/>
      <c r="E48" s="36">
        <v>36.85</v>
      </c>
      <c r="F48" s="54">
        <v>3500</v>
      </c>
      <c r="G48" s="55">
        <f>+E48*F48</f>
        <v>128975</v>
      </c>
      <c r="I48" s="36"/>
      <c r="J48" s="36"/>
      <c r="K48" s="54"/>
      <c r="L48" s="54"/>
      <c r="M48" s="54"/>
      <c r="N48" s="55"/>
      <c r="O48" s="55"/>
    </row>
    <row r="49" spans="1:15">
      <c r="A49" s="53">
        <v>46094</v>
      </c>
      <c r="B49" s="58">
        <v>99177</v>
      </c>
      <c r="C49" s="36">
        <v>351.48099999999999</v>
      </c>
      <c r="D49" s="36"/>
      <c r="E49" s="36"/>
      <c r="F49" s="54">
        <v>10670</v>
      </c>
      <c r="G49" s="55">
        <f>+C49*F49</f>
        <v>3750302.27</v>
      </c>
      <c r="I49" s="36"/>
      <c r="J49" s="36"/>
      <c r="K49" s="54"/>
      <c r="L49" s="54"/>
      <c r="M49" s="54"/>
      <c r="N49" s="55"/>
      <c r="O49" s="55"/>
    </row>
    <row r="50" spans="1:15">
      <c r="A50" s="53">
        <v>46094</v>
      </c>
      <c r="B50" s="58">
        <v>1728</v>
      </c>
      <c r="C50" s="36"/>
      <c r="D50" s="36"/>
      <c r="E50" s="36">
        <v>30.367000000000001</v>
      </c>
      <c r="F50" s="54">
        <v>3500</v>
      </c>
      <c r="G50" s="55">
        <f>+E50*F50</f>
        <v>106284.5</v>
      </c>
      <c r="I50" s="36"/>
      <c r="J50" s="36"/>
      <c r="K50" s="54"/>
      <c r="L50" s="54"/>
      <c r="M50" s="54"/>
      <c r="N50" s="55"/>
      <c r="O50" s="55"/>
    </row>
    <row r="51" spans="1:15">
      <c r="A51" s="53">
        <v>46094</v>
      </c>
      <c r="B51" s="58">
        <v>99185</v>
      </c>
      <c r="C51" s="36">
        <v>321.06599999999997</v>
      </c>
      <c r="D51" s="36"/>
      <c r="E51" s="36"/>
      <c r="F51" s="54">
        <v>10670</v>
      </c>
      <c r="G51" s="55">
        <f t="shared" ref="G51:G56" si="0">+C51*F51</f>
        <v>3425774.2199999997</v>
      </c>
      <c r="I51" s="36"/>
      <c r="J51" s="36"/>
      <c r="K51" s="54"/>
      <c r="L51" s="54"/>
      <c r="M51" s="54"/>
      <c r="N51" s="55"/>
      <c r="O51" s="55"/>
    </row>
    <row r="52" spans="1:15">
      <c r="A52" s="53">
        <v>46094</v>
      </c>
      <c r="B52" s="58">
        <v>83188</v>
      </c>
      <c r="C52" s="36">
        <v>242.06200000000001</v>
      </c>
      <c r="D52" s="36"/>
      <c r="E52" s="36"/>
      <c r="F52" s="54">
        <v>10670</v>
      </c>
      <c r="G52" s="55">
        <f t="shared" si="0"/>
        <v>2582801.54</v>
      </c>
      <c r="I52" s="36"/>
      <c r="J52" s="36"/>
      <c r="K52" s="54"/>
      <c r="L52" s="54"/>
      <c r="M52" s="54"/>
      <c r="N52" s="55"/>
      <c r="O52" s="55"/>
    </row>
    <row r="53" spans="1:15">
      <c r="A53" s="53">
        <v>46094</v>
      </c>
      <c r="B53" s="58">
        <v>99200</v>
      </c>
      <c r="C53" s="36">
        <v>229.69900000000001</v>
      </c>
      <c r="D53" s="36"/>
      <c r="E53" s="36"/>
      <c r="F53" s="54">
        <v>10670</v>
      </c>
      <c r="G53" s="55">
        <f t="shared" si="0"/>
        <v>2450888.33</v>
      </c>
      <c r="I53" s="36"/>
      <c r="J53" s="36"/>
      <c r="K53" s="54"/>
      <c r="L53" s="54"/>
      <c r="M53" s="54"/>
      <c r="N53" s="55"/>
      <c r="O53" s="55"/>
    </row>
    <row r="54" spans="1:15">
      <c r="A54" s="53">
        <v>46095</v>
      </c>
      <c r="B54" s="58">
        <v>83251</v>
      </c>
      <c r="C54" s="36">
        <v>364.43799999999999</v>
      </c>
      <c r="D54" s="36"/>
      <c r="E54" s="36"/>
      <c r="F54" s="54">
        <v>10670</v>
      </c>
      <c r="G54" s="55">
        <f t="shared" si="0"/>
        <v>3888553.46</v>
      </c>
      <c r="I54" s="36"/>
      <c r="J54" s="36"/>
      <c r="K54" s="54"/>
      <c r="L54" s="54"/>
      <c r="M54" s="54"/>
      <c r="N54" s="55"/>
      <c r="O54" s="55"/>
    </row>
    <row r="55" spans="1:15">
      <c r="A55" s="53">
        <v>46095</v>
      </c>
      <c r="B55" s="58">
        <v>83256</v>
      </c>
      <c r="C55" s="36">
        <v>318.01499999999999</v>
      </c>
      <c r="D55" s="36"/>
      <c r="E55" s="36"/>
      <c r="F55" s="54">
        <v>10670</v>
      </c>
      <c r="G55" s="55">
        <f t="shared" si="0"/>
        <v>3393220.05</v>
      </c>
      <c r="I55" s="36"/>
      <c r="J55" s="36"/>
      <c r="K55" s="54"/>
      <c r="L55" s="54"/>
      <c r="M55" s="54"/>
      <c r="N55" s="55"/>
      <c r="O55" s="55"/>
    </row>
    <row r="56" spans="1:15">
      <c r="A56" s="53">
        <v>46095</v>
      </c>
      <c r="B56" s="58">
        <v>83268</v>
      </c>
      <c r="C56" s="36">
        <v>318.09699999999998</v>
      </c>
      <c r="D56" s="36"/>
      <c r="E56" s="36"/>
      <c r="F56" s="54">
        <v>10670</v>
      </c>
      <c r="G56" s="55">
        <f t="shared" si="0"/>
        <v>3394094.9899999998</v>
      </c>
      <c r="I56" s="36"/>
      <c r="J56" s="36"/>
      <c r="K56" s="54"/>
      <c r="L56" s="54"/>
      <c r="M56" s="54"/>
      <c r="N56" s="55"/>
      <c r="O56" s="55"/>
    </row>
    <row r="57" spans="1:15">
      <c r="A57" s="53">
        <v>46096</v>
      </c>
      <c r="B57" s="58">
        <v>1743</v>
      </c>
      <c r="C57" s="36"/>
      <c r="D57" s="36"/>
      <c r="E57" s="36">
        <v>40.033000000000001</v>
      </c>
      <c r="F57" s="54">
        <v>3500</v>
      </c>
      <c r="G57" s="55">
        <f>+E57*F57</f>
        <v>140115.5</v>
      </c>
      <c r="I57" s="36"/>
      <c r="J57" s="36"/>
      <c r="K57" s="54"/>
      <c r="L57" s="54"/>
      <c r="M57" s="54"/>
      <c r="N57" s="55"/>
      <c r="O57" s="55"/>
    </row>
    <row r="58" spans="1:15">
      <c r="A58" s="53">
        <v>46096</v>
      </c>
      <c r="B58" s="58">
        <v>83304</v>
      </c>
      <c r="C58" s="36">
        <v>349.73899999999998</v>
      </c>
      <c r="D58" s="36"/>
      <c r="E58" s="36"/>
      <c r="F58" s="54">
        <v>10670</v>
      </c>
      <c r="G58" s="55">
        <f>+C58*F58</f>
        <v>3731715.13</v>
      </c>
      <c r="I58" s="36"/>
      <c r="J58" s="36"/>
      <c r="K58" s="54"/>
      <c r="L58" s="54"/>
      <c r="M58" s="54"/>
      <c r="N58" s="55"/>
      <c r="O58" s="55"/>
    </row>
    <row r="59" spans="1:15">
      <c r="A59" s="53">
        <v>46096</v>
      </c>
      <c r="B59" s="58">
        <v>83308</v>
      </c>
      <c r="C59" s="36">
        <v>169.97800000000001</v>
      </c>
      <c r="D59" s="36"/>
      <c r="E59" s="36"/>
      <c r="F59" s="54">
        <v>10670</v>
      </c>
      <c r="G59" s="55">
        <f>+C59*F59</f>
        <v>1813665.26</v>
      </c>
      <c r="I59" s="36"/>
      <c r="J59" s="36"/>
      <c r="K59" s="54"/>
      <c r="L59" s="54"/>
      <c r="M59" s="54"/>
      <c r="N59" s="55"/>
      <c r="O59" s="55"/>
    </row>
    <row r="60" spans="1:15">
      <c r="A60" s="53">
        <v>46096</v>
      </c>
      <c r="B60" s="58">
        <v>83309</v>
      </c>
      <c r="C60" s="36">
        <v>167.86199999999999</v>
      </c>
      <c r="D60" s="36"/>
      <c r="E60" s="36"/>
      <c r="F60" s="54">
        <v>10670</v>
      </c>
      <c r="G60" s="55">
        <f>+C60*F60</f>
        <v>1791087.54</v>
      </c>
      <c r="I60" s="36"/>
      <c r="J60" s="36"/>
      <c r="K60" s="54"/>
      <c r="L60" s="54"/>
      <c r="M60" s="54"/>
      <c r="N60" s="55"/>
      <c r="O60" s="55"/>
    </row>
    <row r="61" spans="1:15">
      <c r="A61" s="53">
        <v>46096</v>
      </c>
      <c r="B61" s="58">
        <v>83314</v>
      </c>
      <c r="C61" s="36">
        <v>150</v>
      </c>
      <c r="D61" s="36"/>
      <c r="E61" s="36"/>
      <c r="F61" s="54">
        <v>10670</v>
      </c>
      <c r="G61" s="55">
        <f>+C61*F61</f>
        <v>1600500</v>
      </c>
      <c r="I61" s="36"/>
      <c r="J61" s="36"/>
      <c r="K61" s="54"/>
      <c r="L61" s="54"/>
      <c r="M61" s="54"/>
      <c r="N61" s="55"/>
      <c r="O61" s="55"/>
    </row>
    <row r="62" spans="1:15">
      <c r="A62" s="53">
        <v>46097</v>
      </c>
      <c r="B62" s="58">
        <v>1748</v>
      </c>
      <c r="C62" s="36"/>
      <c r="D62" s="36"/>
      <c r="E62" s="36">
        <v>20.082999999999998</v>
      </c>
      <c r="F62" s="54">
        <v>3500</v>
      </c>
      <c r="G62" s="55">
        <f>+E62*F62</f>
        <v>70290.5</v>
      </c>
      <c r="I62" s="36"/>
      <c r="J62" s="36"/>
      <c r="K62" s="54"/>
      <c r="L62" s="54"/>
      <c r="M62" s="54"/>
      <c r="N62" s="55"/>
      <c r="O62" s="55"/>
    </row>
    <row r="63" spans="1:15">
      <c r="A63" s="53">
        <v>46097</v>
      </c>
      <c r="B63" s="58">
        <v>83350</v>
      </c>
      <c r="C63" s="36">
        <v>240.376</v>
      </c>
      <c r="D63" s="36"/>
      <c r="E63" s="36"/>
      <c r="F63" s="54">
        <v>10670</v>
      </c>
      <c r="G63" s="55">
        <f>+C63*F63</f>
        <v>2564811.92</v>
      </c>
      <c r="I63" s="36"/>
      <c r="J63" s="36"/>
      <c r="K63" s="54"/>
      <c r="L63" s="54"/>
      <c r="M63" s="54"/>
      <c r="N63" s="55"/>
      <c r="O63" s="55"/>
    </row>
    <row r="64" spans="1:15">
      <c r="A64" s="53">
        <v>46097</v>
      </c>
      <c r="B64" s="58">
        <v>83370</v>
      </c>
      <c r="C64" s="36">
        <v>339.03899999999999</v>
      </c>
      <c r="D64" s="36"/>
      <c r="E64" s="36"/>
      <c r="F64" s="54">
        <v>10670</v>
      </c>
      <c r="G64" s="55">
        <f>+C64*F64</f>
        <v>3617546.13</v>
      </c>
      <c r="I64" s="36"/>
      <c r="J64" s="36"/>
      <c r="K64" s="54"/>
      <c r="L64" s="54"/>
      <c r="M64" s="54"/>
      <c r="N64" s="55"/>
      <c r="O64" s="55"/>
    </row>
    <row r="65" spans="1:15">
      <c r="A65" s="53">
        <v>46097</v>
      </c>
      <c r="B65" s="58">
        <v>99369</v>
      </c>
      <c r="C65" s="36">
        <v>344.78399999999999</v>
      </c>
      <c r="D65" s="36"/>
      <c r="E65" s="36"/>
      <c r="F65" s="54">
        <v>10670</v>
      </c>
      <c r="G65" s="55">
        <f>+C65*F65</f>
        <v>3678845.28</v>
      </c>
      <c r="I65" s="36"/>
      <c r="J65" s="36"/>
      <c r="K65" s="54"/>
      <c r="L65" s="54"/>
      <c r="M65" s="54"/>
      <c r="N65" s="55"/>
      <c r="O65" s="55"/>
    </row>
    <row r="66" spans="1:15">
      <c r="A66" s="53">
        <v>46097</v>
      </c>
      <c r="B66" s="58">
        <v>83384</v>
      </c>
      <c r="C66" s="36">
        <v>359.90899999999999</v>
      </c>
      <c r="D66" s="36"/>
      <c r="E66" s="36"/>
      <c r="F66" s="54">
        <v>10670</v>
      </c>
      <c r="G66" s="55">
        <f>+C66*F66</f>
        <v>3840229.03</v>
      </c>
      <c r="I66" s="36"/>
      <c r="J66" s="36"/>
      <c r="K66" s="54"/>
      <c r="L66" s="54"/>
      <c r="M66" s="54"/>
      <c r="N66" s="55"/>
      <c r="O66" s="55"/>
    </row>
    <row r="67" spans="1:15">
      <c r="A67" s="53">
        <v>46098</v>
      </c>
      <c r="B67" s="58">
        <v>1759</v>
      </c>
      <c r="C67" s="36"/>
      <c r="D67" s="36"/>
      <c r="E67" s="36">
        <v>40.116999999999997</v>
      </c>
      <c r="F67" s="54">
        <v>3500</v>
      </c>
      <c r="G67" s="55">
        <f>+E67*F67</f>
        <v>140409.5</v>
      </c>
      <c r="I67" s="36"/>
      <c r="J67" s="36"/>
      <c r="K67" s="54"/>
      <c r="L67" s="54"/>
      <c r="M67" s="54"/>
      <c r="N67" s="55"/>
      <c r="O67" s="55"/>
    </row>
    <row r="68" spans="1:15">
      <c r="A68" s="53">
        <v>46098</v>
      </c>
      <c r="B68" s="58">
        <v>83448</v>
      </c>
      <c r="C68" s="36">
        <v>321.58199999999999</v>
      </c>
      <c r="D68" s="36"/>
      <c r="E68" s="36"/>
      <c r="F68" s="54">
        <v>10670</v>
      </c>
      <c r="G68" s="55">
        <f t="shared" ref="G68:G74" si="1">+C68*F68</f>
        <v>3431279.94</v>
      </c>
      <c r="I68" s="36"/>
      <c r="J68" s="36"/>
      <c r="K68" s="54"/>
      <c r="L68" s="54"/>
      <c r="M68" s="54"/>
      <c r="N68" s="55"/>
      <c r="O68" s="55"/>
    </row>
    <row r="69" spans="1:15">
      <c r="A69" s="53">
        <v>46098</v>
      </c>
      <c r="B69" s="58">
        <v>83460</v>
      </c>
      <c r="C69" s="36">
        <v>163.09700000000001</v>
      </c>
      <c r="D69" s="36"/>
      <c r="E69" s="36"/>
      <c r="F69" s="54">
        <v>10670</v>
      </c>
      <c r="G69" s="55">
        <f t="shared" si="1"/>
        <v>1740244.99</v>
      </c>
      <c r="I69" s="36"/>
      <c r="J69" s="36"/>
      <c r="K69" s="54"/>
      <c r="L69" s="54"/>
      <c r="M69" s="54"/>
      <c r="N69" s="55"/>
      <c r="O69" s="55"/>
    </row>
    <row r="70" spans="1:15">
      <c r="A70" s="53">
        <v>46098</v>
      </c>
      <c r="B70" s="58">
        <v>83463</v>
      </c>
      <c r="C70" s="36">
        <v>253.02199999999999</v>
      </c>
      <c r="D70" s="36"/>
      <c r="E70" s="36"/>
      <c r="F70" s="54">
        <v>10670</v>
      </c>
      <c r="G70" s="55">
        <f t="shared" si="1"/>
        <v>2699744.7399999998</v>
      </c>
      <c r="I70" s="36"/>
      <c r="J70" s="36"/>
      <c r="K70" s="54"/>
      <c r="L70" s="54"/>
      <c r="M70" s="54"/>
      <c r="N70" s="55"/>
      <c r="O70" s="55"/>
    </row>
    <row r="71" spans="1:15">
      <c r="A71" s="53">
        <v>46099</v>
      </c>
      <c r="B71" s="58">
        <v>83549</v>
      </c>
      <c r="C71" s="36">
        <v>219.39400000000001</v>
      </c>
      <c r="D71" s="36"/>
      <c r="E71" s="36"/>
      <c r="F71" s="54">
        <v>10670</v>
      </c>
      <c r="G71" s="55">
        <f t="shared" si="1"/>
        <v>2340933.98</v>
      </c>
      <c r="I71" s="36"/>
      <c r="J71" s="36"/>
      <c r="K71" s="54"/>
      <c r="L71" s="54"/>
      <c r="M71" s="54"/>
      <c r="N71" s="55"/>
      <c r="O71" s="55"/>
    </row>
    <row r="72" spans="1:15">
      <c r="A72" s="53">
        <v>46099</v>
      </c>
      <c r="B72" s="58">
        <v>83550</v>
      </c>
      <c r="C72" s="36">
        <v>139.876</v>
      </c>
      <c r="D72" s="36"/>
      <c r="E72" s="36"/>
      <c r="F72" s="54">
        <v>10670</v>
      </c>
      <c r="G72" s="55">
        <f t="shared" si="1"/>
        <v>1492476.9200000002</v>
      </c>
      <c r="I72" s="36"/>
      <c r="J72" s="36"/>
      <c r="K72" s="54"/>
      <c r="L72" s="54"/>
      <c r="M72" s="54"/>
      <c r="N72" s="55"/>
      <c r="O72" s="55"/>
    </row>
    <row r="73" spans="1:15">
      <c r="A73" s="53">
        <v>46099</v>
      </c>
      <c r="B73" s="58">
        <v>83558</v>
      </c>
      <c r="C73" s="36">
        <v>234.53899999999999</v>
      </c>
      <c r="D73" s="36"/>
      <c r="E73" s="36"/>
      <c r="F73" s="54">
        <v>10670</v>
      </c>
      <c r="G73" s="55">
        <f t="shared" si="1"/>
        <v>2502531.13</v>
      </c>
      <c r="I73" s="36"/>
      <c r="J73" s="36"/>
      <c r="K73" s="54"/>
      <c r="L73" s="54"/>
      <c r="M73" s="54"/>
      <c r="N73" s="55"/>
      <c r="O73" s="55"/>
    </row>
    <row r="74" spans="1:15">
      <c r="A74" s="53">
        <v>46099</v>
      </c>
      <c r="B74" s="58">
        <v>83568</v>
      </c>
      <c r="C74" s="36">
        <v>340.26499999999999</v>
      </c>
      <c r="D74" s="36"/>
      <c r="E74" s="36"/>
      <c r="F74" s="54">
        <v>10670</v>
      </c>
      <c r="G74" s="55">
        <f t="shared" si="1"/>
        <v>3630627.55</v>
      </c>
      <c r="I74" s="36"/>
      <c r="J74" s="36"/>
      <c r="K74" s="54"/>
      <c r="L74" s="54"/>
      <c r="M74" s="54"/>
      <c r="N74" s="55"/>
      <c r="O74" s="55"/>
    </row>
    <row r="75" spans="1:15">
      <c r="A75" s="53">
        <v>46100</v>
      </c>
      <c r="B75" s="58">
        <v>1786</v>
      </c>
      <c r="C75" s="36"/>
      <c r="D75" s="36"/>
      <c r="E75" s="36">
        <v>20.117000000000001</v>
      </c>
      <c r="F75" s="54">
        <v>3500</v>
      </c>
      <c r="G75" s="55">
        <f>+E75*F75</f>
        <v>70409.5</v>
      </c>
      <c r="I75" s="36"/>
      <c r="J75" s="36"/>
      <c r="K75" s="54"/>
      <c r="L75" s="54"/>
      <c r="M75" s="54"/>
      <c r="N75" s="55"/>
      <c r="O75" s="55"/>
    </row>
    <row r="76" spans="1:15">
      <c r="A76" s="53">
        <v>46100</v>
      </c>
      <c r="B76" s="58">
        <v>99644</v>
      </c>
      <c r="C76" s="36">
        <v>343.31700000000001</v>
      </c>
      <c r="D76" s="36"/>
      <c r="E76" s="36"/>
      <c r="F76" s="54">
        <v>10670</v>
      </c>
      <c r="G76" s="55">
        <f>+C76*F76</f>
        <v>3663192.39</v>
      </c>
      <c r="I76" s="36"/>
      <c r="J76" s="36"/>
      <c r="K76" s="54"/>
      <c r="L76" s="54"/>
      <c r="M76" s="54"/>
      <c r="N76" s="55"/>
      <c r="O76" s="55"/>
    </row>
    <row r="77" spans="1:15">
      <c r="A77" s="53">
        <v>46100</v>
      </c>
      <c r="B77" s="58">
        <v>83637</v>
      </c>
      <c r="C77" s="36">
        <v>328.14499999999998</v>
      </c>
      <c r="D77" s="36"/>
      <c r="E77" s="36"/>
      <c r="F77" s="54">
        <v>10670</v>
      </c>
      <c r="G77" s="55">
        <f>+C77*F77</f>
        <v>3501307.15</v>
      </c>
      <c r="I77" s="36"/>
      <c r="J77" s="36"/>
      <c r="K77" s="54"/>
      <c r="L77" s="54"/>
      <c r="M77" s="54"/>
      <c r="N77" s="55"/>
      <c r="O77" s="55"/>
    </row>
    <row r="78" spans="1:15">
      <c r="A78" s="53">
        <v>46100</v>
      </c>
      <c r="B78" s="58">
        <v>1788</v>
      </c>
      <c r="C78" s="36"/>
      <c r="D78" s="36"/>
      <c r="E78" s="36">
        <v>80.45</v>
      </c>
      <c r="F78" s="54">
        <v>3500</v>
      </c>
      <c r="G78" s="55">
        <f>+E78*F78</f>
        <v>281575</v>
      </c>
      <c r="I78" s="36"/>
      <c r="J78" s="36"/>
      <c r="K78" s="54"/>
      <c r="L78" s="54"/>
      <c r="M78" s="54"/>
      <c r="N78" s="55"/>
      <c r="O78" s="55"/>
    </row>
    <row r="79" spans="1:15">
      <c r="A79" s="53">
        <v>46100</v>
      </c>
      <c r="B79" s="58">
        <v>99669</v>
      </c>
      <c r="C79" s="36">
        <v>228.90199999999999</v>
      </c>
      <c r="D79" s="36"/>
      <c r="E79" s="36"/>
      <c r="F79" s="54">
        <v>10670</v>
      </c>
      <c r="G79" s="55">
        <f t="shared" ref="G79:G93" si="2">+C79*F79</f>
        <v>2442384.34</v>
      </c>
      <c r="I79" s="36"/>
      <c r="J79" s="36"/>
      <c r="K79" s="54"/>
      <c r="L79" s="54"/>
      <c r="M79" s="54"/>
      <c r="N79" s="55"/>
      <c r="O79" s="55"/>
    </row>
    <row r="80" spans="1:15">
      <c r="A80" s="53">
        <v>46100</v>
      </c>
      <c r="B80" s="58">
        <v>83659</v>
      </c>
      <c r="C80" s="36">
        <v>352.23599999999999</v>
      </c>
      <c r="D80" s="36"/>
      <c r="E80" s="36"/>
      <c r="F80" s="54">
        <v>10670</v>
      </c>
      <c r="G80" s="55">
        <f t="shared" si="2"/>
        <v>3758358.12</v>
      </c>
      <c r="I80" s="36"/>
      <c r="J80" s="36"/>
      <c r="K80" s="54"/>
      <c r="L80" s="54"/>
      <c r="M80" s="54"/>
      <c r="N80" s="55"/>
      <c r="O80" s="55"/>
    </row>
    <row r="81" spans="1:15">
      <c r="A81" s="53">
        <v>46100</v>
      </c>
      <c r="B81" s="58">
        <v>83668</v>
      </c>
      <c r="C81" s="36">
        <v>353.63200000000001</v>
      </c>
      <c r="D81" s="36"/>
      <c r="E81" s="36"/>
      <c r="F81" s="54">
        <v>10670</v>
      </c>
      <c r="G81" s="55">
        <f t="shared" si="2"/>
        <v>3773253.44</v>
      </c>
      <c r="I81" s="36"/>
      <c r="J81" s="36"/>
      <c r="K81" s="54"/>
      <c r="L81" s="54"/>
      <c r="M81" s="54"/>
      <c r="N81" s="55"/>
      <c r="O81" s="55"/>
    </row>
    <row r="82" spans="1:15">
      <c r="A82" s="53">
        <v>46100</v>
      </c>
      <c r="B82" s="58">
        <v>83689</v>
      </c>
      <c r="C82" s="36">
        <v>353.22399999999999</v>
      </c>
      <c r="D82" s="36"/>
      <c r="E82" s="36"/>
      <c r="F82" s="54">
        <v>10670</v>
      </c>
      <c r="G82" s="55">
        <f t="shared" si="2"/>
        <v>3768900.08</v>
      </c>
      <c r="I82" s="36"/>
      <c r="J82" s="36"/>
      <c r="K82" s="54"/>
      <c r="L82" s="54"/>
      <c r="M82" s="54"/>
      <c r="N82" s="55"/>
      <c r="O82" s="55"/>
    </row>
    <row r="83" spans="1:15">
      <c r="A83" s="53">
        <v>46100</v>
      </c>
      <c r="B83" s="58">
        <v>99720</v>
      </c>
      <c r="C83" s="36">
        <v>347.73899999999998</v>
      </c>
      <c r="D83" s="36"/>
      <c r="E83" s="36"/>
      <c r="F83" s="54">
        <v>10670</v>
      </c>
      <c r="G83" s="55">
        <f t="shared" si="2"/>
        <v>3710375.13</v>
      </c>
      <c r="I83" s="36"/>
      <c r="J83" s="36"/>
      <c r="K83" s="54"/>
      <c r="L83" s="54"/>
      <c r="M83" s="54"/>
      <c r="N83" s="55"/>
      <c r="O83" s="55"/>
    </row>
    <row r="84" spans="1:15">
      <c r="A84" s="53">
        <v>46100</v>
      </c>
      <c r="B84" s="58">
        <v>99732</v>
      </c>
      <c r="C84" s="36">
        <v>348.411</v>
      </c>
      <c r="D84" s="36"/>
      <c r="E84" s="36"/>
      <c r="F84" s="54">
        <v>10670</v>
      </c>
      <c r="G84" s="55">
        <f t="shared" si="2"/>
        <v>3717545.37</v>
      </c>
      <c r="I84" s="36"/>
      <c r="J84" s="36"/>
      <c r="K84" s="54"/>
      <c r="L84" s="54"/>
      <c r="M84" s="54"/>
      <c r="N84" s="55"/>
      <c r="O84" s="55"/>
    </row>
    <row r="85" spans="1:15">
      <c r="A85" s="53">
        <v>46101</v>
      </c>
      <c r="B85" s="58">
        <v>99762</v>
      </c>
      <c r="C85" s="36">
        <v>353.42</v>
      </c>
      <c r="D85" s="36"/>
      <c r="E85" s="36"/>
      <c r="F85" s="54">
        <v>10670</v>
      </c>
      <c r="G85" s="55">
        <f t="shared" si="2"/>
        <v>3770991.4000000004</v>
      </c>
      <c r="I85" s="36"/>
      <c r="J85" s="36"/>
      <c r="K85" s="54"/>
      <c r="L85" s="54"/>
      <c r="M85" s="54"/>
      <c r="N85" s="55"/>
      <c r="O85" s="55"/>
    </row>
    <row r="86" spans="1:15">
      <c r="A86" s="53">
        <v>46101</v>
      </c>
      <c r="B86" s="58">
        <v>83742</v>
      </c>
      <c r="C86" s="36">
        <v>314.91800000000001</v>
      </c>
      <c r="D86" s="36"/>
      <c r="E86" s="36"/>
      <c r="F86" s="54">
        <v>10670</v>
      </c>
      <c r="G86" s="55">
        <f t="shared" si="2"/>
        <v>3360175.06</v>
      </c>
      <c r="I86" s="36"/>
      <c r="J86" s="36"/>
      <c r="K86" s="54"/>
      <c r="L86" s="54"/>
      <c r="M86" s="54"/>
      <c r="N86" s="55"/>
      <c r="O86" s="55"/>
    </row>
    <row r="87" spans="1:15">
      <c r="A87" s="53">
        <v>46102</v>
      </c>
      <c r="B87" s="58">
        <v>83808</v>
      </c>
      <c r="C87" s="36">
        <v>352.98399999999998</v>
      </c>
      <c r="D87" s="36"/>
      <c r="E87" s="36"/>
      <c r="F87" s="54">
        <v>10670</v>
      </c>
      <c r="G87" s="55">
        <f t="shared" si="2"/>
        <v>3766339.28</v>
      </c>
      <c r="I87" s="36"/>
      <c r="J87" s="36"/>
      <c r="K87" s="54"/>
      <c r="L87" s="54"/>
      <c r="M87" s="54"/>
      <c r="N87" s="55"/>
      <c r="O87" s="55"/>
    </row>
    <row r="88" spans="1:15">
      <c r="A88" s="53">
        <v>46102</v>
      </c>
      <c r="B88" s="58">
        <v>99841</v>
      </c>
      <c r="C88" s="36">
        <v>351.82499999999999</v>
      </c>
      <c r="D88" s="36"/>
      <c r="E88" s="36"/>
      <c r="F88" s="54">
        <v>10670</v>
      </c>
      <c r="G88" s="55">
        <f t="shared" si="2"/>
        <v>3753972.75</v>
      </c>
      <c r="I88" s="36"/>
      <c r="J88" s="36"/>
      <c r="K88" s="54"/>
      <c r="L88" s="54"/>
      <c r="M88" s="54"/>
      <c r="N88" s="55"/>
      <c r="O88" s="55"/>
    </row>
    <row r="89" spans="1:15">
      <c r="A89" s="53">
        <v>46102</v>
      </c>
      <c r="B89" s="58">
        <v>83828</v>
      </c>
      <c r="C89" s="36">
        <v>319.125</v>
      </c>
      <c r="D89" s="36"/>
      <c r="E89" s="36"/>
      <c r="F89" s="54">
        <v>10670</v>
      </c>
      <c r="G89" s="55">
        <f t="shared" si="2"/>
        <v>3405063.75</v>
      </c>
      <c r="I89" s="36"/>
      <c r="J89" s="36"/>
      <c r="K89" s="54"/>
      <c r="L89" s="54"/>
      <c r="M89" s="54"/>
      <c r="N89" s="55"/>
      <c r="O89" s="55"/>
    </row>
    <row r="90" spans="1:15">
      <c r="A90" s="53">
        <v>46102</v>
      </c>
      <c r="B90" s="58">
        <v>83842</v>
      </c>
      <c r="C90" s="36">
        <v>314.52100000000002</v>
      </c>
      <c r="D90" s="36"/>
      <c r="E90" s="36"/>
      <c r="F90" s="54">
        <v>10670</v>
      </c>
      <c r="G90" s="55">
        <f t="shared" si="2"/>
        <v>3355939.0700000003</v>
      </c>
      <c r="I90" s="36"/>
      <c r="J90" s="36"/>
      <c r="K90" s="54"/>
      <c r="L90" s="54"/>
      <c r="M90" s="54"/>
      <c r="N90" s="55"/>
      <c r="O90" s="55"/>
    </row>
    <row r="91" spans="1:15">
      <c r="A91" s="53">
        <v>46103</v>
      </c>
      <c r="B91" s="58">
        <v>83870</v>
      </c>
      <c r="C91" s="36">
        <v>290.12700000000001</v>
      </c>
      <c r="D91" s="36"/>
      <c r="E91" s="36"/>
      <c r="F91" s="54">
        <v>10670</v>
      </c>
      <c r="G91" s="55">
        <f t="shared" si="2"/>
        <v>3095655.0900000003</v>
      </c>
      <c r="I91" s="36"/>
      <c r="J91" s="36"/>
      <c r="K91" s="54"/>
      <c r="L91" s="54"/>
      <c r="M91" s="54"/>
      <c r="N91" s="55"/>
      <c r="O91" s="55"/>
    </row>
    <row r="92" spans="1:15">
      <c r="A92" s="53">
        <v>46104</v>
      </c>
      <c r="B92" s="58">
        <v>99929</v>
      </c>
      <c r="C92" s="36">
        <v>117.675</v>
      </c>
      <c r="D92" s="36"/>
      <c r="E92" s="36"/>
      <c r="F92" s="54">
        <v>10670</v>
      </c>
      <c r="G92" s="55">
        <f t="shared" si="2"/>
        <v>1255592.25</v>
      </c>
      <c r="I92" s="36"/>
      <c r="J92" s="36"/>
      <c r="K92" s="54"/>
      <c r="L92" s="54"/>
      <c r="M92" s="54"/>
      <c r="N92" s="55"/>
      <c r="O92" s="55"/>
    </row>
    <row r="93" spans="1:15">
      <c r="A93" s="53">
        <v>46105</v>
      </c>
      <c r="B93" s="58">
        <v>83923</v>
      </c>
      <c r="C93" s="36">
        <v>87.084999999999994</v>
      </c>
      <c r="D93" s="36"/>
      <c r="E93" s="36"/>
      <c r="F93" s="54">
        <v>10670</v>
      </c>
      <c r="G93" s="55">
        <f t="shared" si="2"/>
        <v>929196.95</v>
      </c>
      <c r="I93" s="36"/>
      <c r="J93" s="36"/>
      <c r="K93" s="54"/>
      <c r="L93" s="54"/>
      <c r="M93" s="54"/>
      <c r="N93" s="55"/>
      <c r="O93" s="55"/>
    </row>
    <row r="94" spans="1:15">
      <c r="A94" s="53">
        <v>46105</v>
      </c>
      <c r="B94" s="58">
        <v>1793</v>
      </c>
      <c r="C94" s="36"/>
      <c r="D94" s="36"/>
      <c r="E94" s="36">
        <v>40.317</v>
      </c>
      <c r="F94" s="54">
        <v>3500</v>
      </c>
      <c r="G94" s="55">
        <f>+E94*F94</f>
        <v>141109.5</v>
      </c>
      <c r="I94" s="36"/>
      <c r="J94" s="36"/>
      <c r="K94" s="54"/>
      <c r="L94" s="54"/>
      <c r="M94" s="54"/>
      <c r="N94" s="55"/>
      <c r="O94" s="55"/>
    </row>
    <row r="95" spans="1:15">
      <c r="A95" s="53">
        <v>46105</v>
      </c>
      <c r="B95" s="58">
        <v>83938</v>
      </c>
      <c r="C95" s="36">
        <v>360.26799999999997</v>
      </c>
      <c r="D95" s="36"/>
      <c r="E95" s="36"/>
      <c r="F95" s="54">
        <v>10670</v>
      </c>
      <c r="G95" s="55">
        <f>+C95*F95</f>
        <v>3844059.5599999996</v>
      </c>
      <c r="I95" s="36"/>
      <c r="J95" s="36"/>
      <c r="K95" s="54"/>
      <c r="L95" s="54"/>
      <c r="M95" s="54"/>
      <c r="N95" s="55"/>
      <c r="O95" s="55"/>
    </row>
    <row r="96" spans="1:15">
      <c r="A96" s="53">
        <v>46105</v>
      </c>
      <c r="B96" s="58">
        <v>83949</v>
      </c>
      <c r="C96" s="36">
        <v>257.60399999999998</v>
      </c>
      <c r="D96" s="36"/>
      <c r="E96" s="36"/>
      <c r="F96" s="54">
        <v>10670</v>
      </c>
      <c r="G96" s="55">
        <f>+C96*F96</f>
        <v>2748634.6799999997</v>
      </c>
      <c r="I96" s="36"/>
      <c r="J96" s="36"/>
      <c r="K96" s="54"/>
      <c r="L96" s="54"/>
      <c r="M96" s="54"/>
      <c r="N96" s="55"/>
      <c r="O96" s="55"/>
    </row>
    <row r="97" spans="1:15">
      <c r="A97" s="53">
        <v>46105</v>
      </c>
      <c r="B97" s="58">
        <v>83951</v>
      </c>
      <c r="C97" s="36">
        <v>250</v>
      </c>
      <c r="D97" s="36"/>
      <c r="E97" s="36"/>
      <c r="F97" s="54">
        <v>10670</v>
      </c>
      <c r="G97" s="55">
        <f>+C97*F97</f>
        <v>2667500</v>
      </c>
      <c r="I97" s="36"/>
      <c r="J97" s="36"/>
      <c r="K97" s="54"/>
      <c r="L97" s="54"/>
      <c r="M97" s="54"/>
      <c r="N97" s="55"/>
      <c r="O97" s="55"/>
    </row>
    <row r="98" spans="1:15">
      <c r="A98" s="53">
        <v>46105</v>
      </c>
      <c r="B98" s="58">
        <v>83958</v>
      </c>
      <c r="C98" s="36">
        <v>163.49600000000001</v>
      </c>
      <c r="D98" s="36"/>
      <c r="E98" s="36"/>
      <c r="F98" s="54">
        <v>10670</v>
      </c>
      <c r="G98" s="55">
        <f>+C98*F98</f>
        <v>1744502.32</v>
      </c>
      <c r="I98" s="36"/>
      <c r="J98" s="36"/>
      <c r="K98" s="54"/>
      <c r="L98" s="54"/>
      <c r="M98" s="54"/>
      <c r="N98" s="55"/>
      <c r="O98" s="55"/>
    </row>
    <row r="99" spans="1:15">
      <c r="A99" s="53">
        <v>46105</v>
      </c>
      <c r="B99" s="58">
        <v>83960</v>
      </c>
      <c r="C99" s="36">
        <v>123.544</v>
      </c>
      <c r="D99" s="36"/>
      <c r="E99" s="36"/>
      <c r="F99" s="54">
        <v>10670</v>
      </c>
      <c r="G99" s="55">
        <f>+C99*F99</f>
        <v>1318214.48</v>
      </c>
      <c r="I99" s="36"/>
      <c r="J99" s="36"/>
      <c r="K99" s="54"/>
      <c r="L99" s="54"/>
      <c r="M99" s="54"/>
      <c r="N99" s="55"/>
      <c r="O99" s="55"/>
    </row>
    <row r="100" spans="1:15">
      <c r="A100" s="53">
        <v>46106</v>
      </c>
      <c r="B100" s="58">
        <v>1806</v>
      </c>
      <c r="C100" s="36"/>
      <c r="D100" s="36"/>
      <c r="E100" s="36">
        <v>20.149999999999999</v>
      </c>
      <c r="F100" s="54">
        <v>3500</v>
      </c>
      <c r="G100" s="55">
        <f>+E100*F100</f>
        <v>70525</v>
      </c>
      <c r="I100" s="36"/>
      <c r="J100" s="36"/>
      <c r="K100" s="54"/>
      <c r="L100" s="54"/>
      <c r="M100" s="54"/>
      <c r="N100" s="55"/>
      <c r="O100" s="55"/>
    </row>
    <row r="101" spans="1:15">
      <c r="A101" s="53">
        <v>46106</v>
      </c>
      <c r="B101" s="58">
        <v>100057</v>
      </c>
      <c r="C101" s="36">
        <v>344.53399999999999</v>
      </c>
      <c r="D101" s="36"/>
      <c r="E101" s="36"/>
      <c r="F101" s="54">
        <v>10670</v>
      </c>
      <c r="G101" s="55">
        <f>+C101*F101</f>
        <v>3676177.78</v>
      </c>
      <c r="I101" s="36"/>
      <c r="J101" s="36"/>
      <c r="K101" s="54"/>
      <c r="L101" s="54"/>
      <c r="M101" s="54"/>
      <c r="N101" s="55"/>
      <c r="O101" s="55"/>
    </row>
    <row r="102" spans="1:15">
      <c r="A102" s="53">
        <v>46106</v>
      </c>
      <c r="B102" s="58">
        <v>100068</v>
      </c>
      <c r="C102" s="36">
        <v>343.08800000000002</v>
      </c>
      <c r="D102" s="36"/>
      <c r="E102" s="36"/>
      <c r="F102" s="54">
        <v>10670</v>
      </c>
      <c r="G102" s="55">
        <f>+C102*F102</f>
        <v>3660748.9600000004</v>
      </c>
      <c r="I102" s="36"/>
      <c r="J102" s="36"/>
      <c r="K102" s="54"/>
      <c r="L102" s="54"/>
      <c r="M102" s="54"/>
      <c r="N102" s="55"/>
      <c r="O102" s="55"/>
    </row>
    <row r="103" spans="1:15">
      <c r="A103" s="53">
        <v>46106</v>
      </c>
      <c r="B103" s="58">
        <v>84063</v>
      </c>
      <c r="C103" s="36">
        <v>355.46800000000002</v>
      </c>
      <c r="D103" s="36"/>
      <c r="E103" s="36"/>
      <c r="F103" s="54">
        <v>10670</v>
      </c>
      <c r="G103" s="55">
        <f>+C103*F103</f>
        <v>3792843.56</v>
      </c>
      <c r="I103" s="36"/>
      <c r="J103" s="36"/>
      <c r="K103" s="54"/>
      <c r="L103" s="54"/>
      <c r="M103" s="54"/>
      <c r="N103" s="55"/>
      <c r="O103" s="55"/>
    </row>
    <row r="104" spans="1:15">
      <c r="A104" s="53">
        <v>46107</v>
      </c>
      <c r="B104" s="58">
        <v>1822</v>
      </c>
      <c r="C104" s="36"/>
      <c r="D104" s="36"/>
      <c r="E104" s="36">
        <v>20.192</v>
      </c>
      <c r="F104" s="54">
        <v>3500</v>
      </c>
      <c r="G104" s="55">
        <f>+E104*F104</f>
        <v>70672</v>
      </c>
      <c r="I104" s="36"/>
      <c r="J104" s="36"/>
      <c r="K104" s="54"/>
      <c r="L104" s="54"/>
      <c r="M104" s="54"/>
      <c r="N104" s="55"/>
      <c r="O104" s="55"/>
    </row>
    <row r="105" spans="1:15">
      <c r="A105" s="53">
        <v>46107</v>
      </c>
      <c r="B105" s="58">
        <v>100146</v>
      </c>
      <c r="C105" s="36">
        <v>346.577</v>
      </c>
      <c r="D105" s="36"/>
      <c r="E105" s="36"/>
      <c r="F105" s="54">
        <v>10670</v>
      </c>
      <c r="G105" s="55">
        <f>+C105*F105</f>
        <v>3697976.59</v>
      </c>
      <c r="I105" s="36"/>
      <c r="J105" s="36"/>
      <c r="K105" s="54"/>
      <c r="L105" s="54"/>
      <c r="M105" s="54"/>
      <c r="N105" s="55"/>
      <c r="O105" s="55"/>
    </row>
    <row r="106" spans="1:15">
      <c r="A106" s="53">
        <v>46107</v>
      </c>
      <c r="B106" s="58">
        <v>100156</v>
      </c>
      <c r="C106" s="36">
        <v>342.45400000000001</v>
      </c>
      <c r="D106" s="36"/>
      <c r="E106" s="36"/>
      <c r="F106" s="54">
        <v>10670</v>
      </c>
      <c r="G106" s="55">
        <f>+C106*F106</f>
        <v>3653984.18</v>
      </c>
      <c r="I106" s="36"/>
      <c r="J106" s="36"/>
      <c r="K106" s="54"/>
      <c r="L106" s="54"/>
      <c r="M106" s="54"/>
      <c r="N106" s="55"/>
      <c r="O106" s="55"/>
    </row>
    <row r="107" spans="1:15">
      <c r="A107" s="53">
        <v>46107</v>
      </c>
      <c r="B107" s="58">
        <v>84152</v>
      </c>
      <c r="C107" s="36">
        <v>353.66699999999997</v>
      </c>
      <c r="D107" s="36"/>
      <c r="E107" s="36"/>
      <c r="F107" s="54">
        <v>10670</v>
      </c>
      <c r="G107" s="55">
        <f>+C107*F107</f>
        <v>3773626.8899999997</v>
      </c>
      <c r="I107" s="36"/>
      <c r="J107" s="36"/>
      <c r="K107" s="54"/>
      <c r="L107" s="54"/>
      <c r="M107" s="54"/>
      <c r="N107" s="55"/>
      <c r="O107" s="55"/>
    </row>
    <row r="108" spans="1:15">
      <c r="A108" s="53">
        <v>46108</v>
      </c>
      <c r="B108" s="58">
        <v>1833</v>
      </c>
      <c r="C108" s="36"/>
      <c r="D108" s="36"/>
      <c r="E108" s="36">
        <v>40</v>
      </c>
      <c r="F108" s="54">
        <v>3500</v>
      </c>
      <c r="G108" s="55">
        <f>+E108*F108</f>
        <v>140000</v>
      </c>
      <c r="I108" s="36"/>
      <c r="J108" s="36"/>
      <c r="K108" s="54"/>
      <c r="L108" s="54"/>
      <c r="M108" s="54"/>
      <c r="N108" s="55"/>
      <c r="O108" s="55"/>
    </row>
    <row r="109" spans="1:15">
      <c r="A109" s="53">
        <v>46108</v>
      </c>
      <c r="B109" s="58">
        <v>100233</v>
      </c>
      <c r="C109" s="36">
        <v>355.18</v>
      </c>
      <c r="D109" s="36"/>
      <c r="E109" s="36"/>
      <c r="F109" s="54">
        <v>10670</v>
      </c>
      <c r="G109" s="55">
        <f>+C109*F109</f>
        <v>3789770.6</v>
      </c>
      <c r="I109" s="36"/>
      <c r="J109" s="36"/>
      <c r="K109" s="54"/>
      <c r="L109" s="54"/>
      <c r="M109" s="54"/>
      <c r="N109" s="55"/>
      <c r="O109" s="55"/>
    </row>
    <row r="110" spans="1:15">
      <c r="A110" s="53">
        <v>46108</v>
      </c>
      <c r="B110" s="58">
        <v>84232</v>
      </c>
      <c r="C110" s="36">
        <v>351.79300000000001</v>
      </c>
      <c r="D110" s="36"/>
      <c r="E110" s="36"/>
      <c r="F110" s="54">
        <v>10670</v>
      </c>
      <c r="G110" s="55">
        <f>+C110*F110</f>
        <v>3753631.31</v>
      </c>
      <c r="I110" s="36"/>
      <c r="J110" s="36"/>
      <c r="K110" s="54"/>
      <c r="L110" s="54"/>
      <c r="M110" s="54"/>
      <c r="N110" s="55"/>
      <c r="O110" s="55"/>
    </row>
    <row r="111" spans="1:15">
      <c r="A111" s="53">
        <v>46108</v>
      </c>
      <c r="B111" s="58">
        <v>1836</v>
      </c>
      <c r="C111" s="36"/>
      <c r="D111" s="36"/>
      <c r="E111" s="36">
        <v>20.117000000000001</v>
      </c>
      <c r="F111" s="54">
        <v>3500</v>
      </c>
      <c r="G111" s="55">
        <f>+E111*F111</f>
        <v>70409.5</v>
      </c>
      <c r="I111" s="36"/>
      <c r="J111" s="36"/>
      <c r="K111" s="54"/>
      <c r="L111" s="54"/>
      <c r="M111" s="54"/>
      <c r="N111" s="55"/>
      <c r="O111" s="55"/>
    </row>
    <row r="112" spans="1:15">
      <c r="A112" s="53">
        <v>46108</v>
      </c>
      <c r="B112" s="58">
        <v>100248</v>
      </c>
      <c r="C112" s="36">
        <v>341.74299999999999</v>
      </c>
      <c r="D112" s="36"/>
      <c r="E112" s="36"/>
      <c r="F112" s="54">
        <v>10670</v>
      </c>
      <c r="G112" s="55">
        <f>+C112*F112</f>
        <v>3646397.81</v>
      </c>
      <c r="I112" s="36"/>
      <c r="J112" s="36"/>
      <c r="K112" s="54"/>
      <c r="L112" s="54"/>
      <c r="M112" s="54"/>
      <c r="N112" s="55"/>
      <c r="O112" s="55"/>
    </row>
    <row r="113" spans="1:15">
      <c r="A113" s="53">
        <v>46108</v>
      </c>
      <c r="B113" s="58">
        <v>84251</v>
      </c>
      <c r="C113" s="36">
        <v>355.512</v>
      </c>
      <c r="D113" s="36"/>
      <c r="E113" s="36"/>
      <c r="F113" s="54">
        <v>10670</v>
      </c>
      <c r="G113" s="55">
        <f>+C113*F113</f>
        <v>3793313.04</v>
      </c>
      <c r="I113" s="36"/>
      <c r="J113" s="36"/>
      <c r="K113" s="54"/>
      <c r="L113" s="54"/>
      <c r="M113" s="54"/>
      <c r="N113" s="55"/>
      <c r="O113" s="55"/>
    </row>
    <row r="114" spans="1:15">
      <c r="A114" s="53">
        <v>46108</v>
      </c>
      <c r="B114" s="58">
        <v>84259</v>
      </c>
      <c r="C114" s="36">
        <v>136.08500000000001</v>
      </c>
      <c r="D114" s="36"/>
      <c r="E114" s="36"/>
      <c r="F114" s="54">
        <v>10670</v>
      </c>
      <c r="G114" s="55">
        <f>+C114*F114</f>
        <v>1452026.9500000002</v>
      </c>
      <c r="I114" s="36"/>
      <c r="J114" s="36"/>
      <c r="K114" s="54"/>
      <c r="L114" s="54"/>
      <c r="M114" s="54"/>
      <c r="N114" s="55"/>
      <c r="O114" s="55"/>
    </row>
    <row r="115" spans="1:15">
      <c r="A115" s="53">
        <v>46108</v>
      </c>
      <c r="B115" s="58">
        <v>100265</v>
      </c>
      <c r="C115" s="36">
        <v>30</v>
      </c>
      <c r="D115" s="36"/>
      <c r="E115" s="36"/>
      <c r="F115" s="54">
        <v>10670</v>
      </c>
      <c r="G115" s="55">
        <f>+C115*F115</f>
        <v>320100</v>
      </c>
      <c r="I115" s="36"/>
      <c r="J115" s="36"/>
      <c r="K115" s="54"/>
      <c r="L115" s="54"/>
      <c r="M115" s="54"/>
      <c r="N115" s="55"/>
      <c r="O115" s="55"/>
    </row>
    <row r="116" spans="1:15">
      <c r="A116" s="53">
        <v>46109</v>
      </c>
      <c r="B116" s="58">
        <v>84300</v>
      </c>
      <c r="C116" s="36">
        <v>200.01300000000001</v>
      </c>
      <c r="D116" s="36"/>
      <c r="E116" s="36"/>
      <c r="F116" s="54">
        <v>10670</v>
      </c>
      <c r="G116" s="55">
        <f>+C116*F116</f>
        <v>2134138.71</v>
      </c>
      <c r="I116" s="36"/>
      <c r="J116" s="36"/>
      <c r="K116" s="54"/>
      <c r="L116" s="54"/>
      <c r="M116" s="54"/>
      <c r="N116" s="55"/>
      <c r="O116" s="55"/>
    </row>
    <row r="117" spans="1:15">
      <c r="A117" s="53">
        <v>46109</v>
      </c>
      <c r="B117" s="58">
        <v>1852</v>
      </c>
      <c r="C117" s="36"/>
      <c r="D117" s="36"/>
      <c r="E117" s="36">
        <v>40.082999999999998</v>
      </c>
      <c r="F117" s="54">
        <v>3500</v>
      </c>
      <c r="G117" s="55">
        <f>+E117*F117</f>
        <v>140290.5</v>
      </c>
      <c r="I117" s="36"/>
      <c r="J117" s="36"/>
      <c r="K117" s="54"/>
      <c r="L117" s="54"/>
      <c r="M117" s="54"/>
      <c r="N117" s="55"/>
      <c r="O117" s="55"/>
    </row>
    <row r="118" spans="1:15">
      <c r="A118" s="53">
        <v>46109</v>
      </c>
      <c r="B118" s="58">
        <v>84314</v>
      </c>
      <c r="C118" s="36">
        <v>332.09899999999999</v>
      </c>
      <c r="D118" s="36"/>
      <c r="E118" s="36"/>
      <c r="F118" s="54">
        <v>10670</v>
      </c>
      <c r="G118" s="55">
        <f>+C118*F118</f>
        <v>3543496.33</v>
      </c>
      <c r="I118" s="36"/>
      <c r="J118" s="36"/>
      <c r="K118" s="54"/>
      <c r="L118" s="54"/>
      <c r="M118" s="54"/>
      <c r="N118" s="55"/>
      <c r="O118" s="55"/>
    </row>
    <row r="119" spans="1:15">
      <c r="A119" s="53">
        <v>46109</v>
      </c>
      <c r="B119" s="58">
        <v>84325</v>
      </c>
      <c r="C119" s="36">
        <v>262.53800000000001</v>
      </c>
      <c r="D119" s="36"/>
      <c r="E119" s="36"/>
      <c r="F119" s="54">
        <v>10670</v>
      </c>
      <c r="G119" s="55">
        <f>+C119*F119</f>
        <v>2801280.46</v>
      </c>
      <c r="I119" s="36"/>
      <c r="J119" s="36"/>
      <c r="K119" s="54"/>
      <c r="L119" s="54"/>
      <c r="M119" s="54"/>
      <c r="N119" s="55"/>
      <c r="O119" s="55"/>
    </row>
    <row r="120" spans="1:15">
      <c r="A120" s="53">
        <v>46109</v>
      </c>
      <c r="B120" s="58">
        <v>84330</v>
      </c>
      <c r="C120" s="36">
        <v>160.94</v>
      </c>
      <c r="D120" s="36"/>
      <c r="E120" s="36"/>
      <c r="F120" s="54">
        <v>10670</v>
      </c>
      <c r="G120" s="55">
        <f>+C120*F120</f>
        <v>1717229.8</v>
      </c>
      <c r="I120" s="36"/>
      <c r="J120" s="36"/>
      <c r="K120" s="54"/>
      <c r="L120" s="54"/>
      <c r="M120" s="54"/>
      <c r="N120" s="55"/>
      <c r="O120" s="55"/>
    </row>
    <row r="121" spans="1:15">
      <c r="A121" s="53">
        <v>46110</v>
      </c>
      <c r="B121" s="58">
        <v>84363</v>
      </c>
      <c r="C121" s="36">
        <v>282.78199999999998</v>
      </c>
      <c r="D121" s="36"/>
      <c r="E121" s="36"/>
      <c r="F121" s="54">
        <v>10670</v>
      </c>
      <c r="G121" s="55">
        <f>+C121*F121</f>
        <v>3017283.94</v>
      </c>
      <c r="I121" s="36"/>
      <c r="J121" s="36"/>
      <c r="K121" s="54"/>
      <c r="L121" s="54"/>
      <c r="M121" s="54"/>
      <c r="N121" s="55"/>
      <c r="O121" s="55"/>
    </row>
    <row r="122" spans="1:15">
      <c r="A122" s="53">
        <v>46110</v>
      </c>
      <c r="B122" s="58">
        <v>84370</v>
      </c>
      <c r="C122" s="36">
        <v>346.88099999999997</v>
      </c>
      <c r="D122" s="36"/>
      <c r="E122" s="36"/>
      <c r="F122" s="54">
        <v>10670</v>
      </c>
      <c r="G122" s="55">
        <f>+C122*F122</f>
        <v>3701220.2699999996</v>
      </c>
      <c r="I122" s="36"/>
      <c r="J122" s="36"/>
      <c r="K122" s="54"/>
      <c r="L122" s="54"/>
      <c r="M122" s="54"/>
      <c r="N122" s="55"/>
      <c r="O122" s="55"/>
    </row>
    <row r="123" spans="1:15">
      <c r="A123" s="53">
        <v>46111</v>
      </c>
      <c r="B123" s="58">
        <v>1861</v>
      </c>
      <c r="C123" s="36"/>
      <c r="D123" s="36"/>
      <c r="E123" s="36">
        <v>22.533000000000001</v>
      </c>
      <c r="F123" s="54">
        <v>3500</v>
      </c>
      <c r="G123" s="55">
        <f>+E123*F123</f>
        <v>78865.5</v>
      </c>
      <c r="I123" s="36"/>
      <c r="J123" s="36"/>
      <c r="K123" s="54"/>
      <c r="L123" s="54"/>
      <c r="M123" s="54"/>
      <c r="N123" s="55"/>
      <c r="O123" s="55"/>
    </row>
    <row r="124" spans="1:15">
      <c r="A124" s="53">
        <v>46111</v>
      </c>
      <c r="B124" s="58">
        <v>84421</v>
      </c>
      <c r="C124" s="36">
        <v>359.30799999999999</v>
      </c>
      <c r="D124" s="36"/>
      <c r="E124" s="36"/>
      <c r="F124" s="54">
        <v>10670</v>
      </c>
      <c r="G124" s="55">
        <f>+C124*F124</f>
        <v>3833816.36</v>
      </c>
      <c r="I124" s="36"/>
      <c r="J124" s="36"/>
      <c r="K124" s="54"/>
      <c r="L124" s="54"/>
      <c r="M124" s="54"/>
      <c r="N124" s="55"/>
      <c r="O124" s="55"/>
    </row>
    <row r="125" spans="1:15">
      <c r="A125" s="53">
        <v>46111</v>
      </c>
      <c r="B125" s="58">
        <v>84448</v>
      </c>
      <c r="C125" s="36">
        <v>353.29500000000002</v>
      </c>
      <c r="D125" s="36"/>
      <c r="E125" s="36"/>
      <c r="F125" s="54">
        <v>10670</v>
      </c>
      <c r="G125" s="55">
        <f>+C125*F125</f>
        <v>3769657.6500000004</v>
      </c>
      <c r="I125" s="36"/>
      <c r="J125" s="36"/>
      <c r="K125" s="54"/>
      <c r="L125" s="54"/>
      <c r="M125" s="54"/>
      <c r="N125" s="55"/>
      <c r="O125" s="55"/>
    </row>
    <row r="126" spans="1:15">
      <c r="A126" s="53">
        <v>46111</v>
      </c>
      <c r="B126" s="58">
        <v>1867</v>
      </c>
      <c r="C126" s="36"/>
      <c r="D126" s="36"/>
      <c r="E126" s="36">
        <v>40.258000000000003</v>
      </c>
      <c r="F126" s="54">
        <v>3500</v>
      </c>
      <c r="G126" s="55">
        <f>+E126*F126</f>
        <v>140903</v>
      </c>
      <c r="I126" s="36"/>
      <c r="J126" s="36"/>
      <c r="K126" s="54"/>
      <c r="L126" s="54"/>
      <c r="M126" s="54"/>
      <c r="N126" s="55"/>
      <c r="O126" s="55"/>
    </row>
    <row r="127" spans="1:15">
      <c r="A127" s="53">
        <v>46111</v>
      </c>
      <c r="B127" s="58">
        <v>84460</v>
      </c>
      <c r="C127" s="36">
        <v>352.27300000000002</v>
      </c>
      <c r="D127" s="36"/>
      <c r="E127" s="36"/>
      <c r="F127" s="54">
        <v>10670</v>
      </c>
      <c r="G127" s="55">
        <f>+C127*F127</f>
        <v>3758752.91</v>
      </c>
      <c r="I127" s="36"/>
      <c r="J127" s="36"/>
      <c r="K127" s="54"/>
      <c r="L127" s="54"/>
      <c r="M127" s="54"/>
      <c r="N127" s="55"/>
      <c r="O127" s="55"/>
    </row>
    <row r="128" spans="1:15">
      <c r="A128" s="53">
        <v>46111</v>
      </c>
      <c r="B128" s="58">
        <v>1870</v>
      </c>
      <c r="C128" s="36"/>
      <c r="D128" s="36"/>
      <c r="E128" s="36">
        <v>55.767000000000003</v>
      </c>
      <c r="F128" s="54">
        <v>3500</v>
      </c>
      <c r="G128" s="55">
        <f>+E128*F128</f>
        <v>195184.5</v>
      </c>
      <c r="I128" s="36"/>
      <c r="J128" s="36"/>
      <c r="K128" s="54"/>
      <c r="L128" s="54"/>
      <c r="M128" s="54"/>
      <c r="N128" s="55"/>
      <c r="O128" s="55"/>
    </row>
    <row r="129" spans="1:15">
      <c r="A129" s="53">
        <v>46111</v>
      </c>
      <c r="B129" s="58">
        <v>100490</v>
      </c>
      <c r="C129" s="36">
        <v>350.42200000000003</v>
      </c>
      <c r="D129" s="36"/>
      <c r="E129" s="36"/>
      <c r="F129" s="54">
        <v>10670</v>
      </c>
      <c r="G129" s="55">
        <f>+C129*F129</f>
        <v>3739002.74</v>
      </c>
      <c r="I129" s="36"/>
      <c r="J129" s="36"/>
      <c r="K129" s="54"/>
      <c r="L129" s="54"/>
      <c r="M129" s="54"/>
      <c r="N129" s="55"/>
      <c r="O129" s="55"/>
    </row>
    <row r="130" spans="1:15">
      <c r="A130" s="53">
        <v>46111</v>
      </c>
      <c r="B130" s="58">
        <v>84480</v>
      </c>
      <c r="C130" s="36">
        <v>353.82299999999998</v>
      </c>
      <c r="D130" s="36"/>
      <c r="E130" s="36"/>
      <c r="F130" s="54">
        <v>10670</v>
      </c>
      <c r="G130" s="55">
        <f>+C130*F130</f>
        <v>3775291.4099999997</v>
      </c>
      <c r="I130" s="36"/>
      <c r="J130" s="36"/>
      <c r="K130" s="54"/>
      <c r="L130" s="54"/>
      <c r="M130" s="54"/>
      <c r="N130" s="55"/>
      <c r="O130" s="55"/>
    </row>
    <row r="131" spans="1:15">
      <c r="A131" s="53">
        <v>46111</v>
      </c>
      <c r="B131" s="58">
        <v>84493</v>
      </c>
      <c r="C131" s="36">
        <v>354.44400000000002</v>
      </c>
      <c r="D131" s="36"/>
      <c r="E131" s="36"/>
      <c r="F131" s="54">
        <v>10670</v>
      </c>
      <c r="G131" s="55">
        <f>+C131*F131</f>
        <v>3781917.48</v>
      </c>
      <c r="I131" s="36"/>
      <c r="J131" s="36"/>
      <c r="K131" s="54"/>
      <c r="L131" s="54"/>
      <c r="M131" s="54"/>
      <c r="N131" s="55"/>
      <c r="O131" s="55"/>
    </row>
    <row r="132" spans="1:15">
      <c r="A132" s="53">
        <v>46112</v>
      </c>
      <c r="B132" s="58">
        <v>100533</v>
      </c>
      <c r="C132" s="36">
        <v>354.928</v>
      </c>
      <c r="D132" s="36"/>
      <c r="E132" s="36"/>
      <c r="F132" s="54">
        <v>10670</v>
      </c>
      <c r="G132" s="55">
        <f>+C132*F132</f>
        <v>3787081.76</v>
      </c>
      <c r="I132" s="36"/>
      <c r="J132" s="36"/>
      <c r="K132" s="54"/>
      <c r="L132" s="54"/>
      <c r="M132" s="54"/>
      <c r="N132" s="55"/>
      <c r="O132" s="55"/>
    </row>
    <row r="133" spans="1:15">
      <c r="A133" s="53">
        <v>46112</v>
      </c>
      <c r="B133" s="58">
        <v>84534</v>
      </c>
      <c r="C133" s="36">
        <v>303.22899999999998</v>
      </c>
      <c r="D133" s="36"/>
      <c r="E133" s="36"/>
      <c r="F133" s="54">
        <v>10670</v>
      </c>
      <c r="G133" s="55">
        <f>+C133*F133</f>
        <v>3235453.4299999997</v>
      </c>
      <c r="I133" s="36"/>
      <c r="J133" s="36"/>
      <c r="K133" s="54"/>
      <c r="L133" s="54"/>
      <c r="M133" s="54"/>
      <c r="N133" s="55"/>
      <c r="O133" s="55"/>
    </row>
    <row r="134" spans="1:15">
      <c r="A134" s="53">
        <v>46112</v>
      </c>
      <c r="B134" s="58">
        <v>1879</v>
      </c>
      <c r="C134" s="36"/>
      <c r="D134" s="36"/>
      <c r="E134" s="36">
        <v>54.082999999999998</v>
      </c>
      <c r="F134" s="54">
        <v>3500</v>
      </c>
      <c r="G134" s="55">
        <f>+E134*F134</f>
        <v>189290.5</v>
      </c>
      <c r="I134" s="36"/>
      <c r="J134" s="36"/>
      <c r="K134" s="54"/>
      <c r="L134" s="54"/>
      <c r="M134" s="54"/>
      <c r="N134" s="55"/>
      <c r="O134" s="55"/>
    </row>
    <row r="135" spans="1:15">
      <c r="A135" s="53">
        <v>46112</v>
      </c>
      <c r="B135" s="58">
        <v>100556</v>
      </c>
      <c r="C135" s="36">
        <v>323.92899999999997</v>
      </c>
      <c r="D135" s="36"/>
      <c r="E135" s="36"/>
      <c r="F135" s="54">
        <v>10670</v>
      </c>
      <c r="G135" s="55">
        <f>+C135*F135</f>
        <v>3456322.4299999997</v>
      </c>
      <c r="I135" s="36"/>
      <c r="J135" s="36"/>
      <c r="K135" s="54"/>
      <c r="L135" s="54"/>
      <c r="M135" s="54"/>
      <c r="N135" s="55"/>
      <c r="O135" s="55"/>
    </row>
    <row r="136" spans="1:15">
      <c r="A136" s="53"/>
      <c r="B136" s="58"/>
      <c r="C136" s="36"/>
      <c r="D136" s="36"/>
      <c r="E136" s="36"/>
      <c r="F136" s="54"/>
      <c r="G136" s="55"/>
      <c r="I136" s="36"/>
      <c r="J136" s="36"/>
      <c r="K136" s="54"/>
      <c r="L136" s="54"/>
      <c r="M136" s="54"/>
      <c r="N136" s="55"/>
      <c r="O136" s="55"/>
    </row>
    <row r="137" spans="1:15">
      <c r="A137" s="60" t="s">
        <v>0</v>
      </c>
      <c r="B137" s="58"/>
      <c r="C137" s="62">
        <f>SUM(C3:C136)</f>
        <v>30349.466999999997</v>
      </c>
      <c r="D137" s="61"/>
      <c r="E137" s="61"/>
      <c r="F137" s="62">
        <v>10670</v>
      </c>
      <c r="G137" s="63">
        <f>+C137*F137</f>
        <v>323828812.88999999</v>
      </c>
      <c r="I137" s="36"/>
      <c r="J137" s="36"/>
      <c r="K137" s="54"/>
      <c r="L137" s="54"/>
      <c r="M137" s="54"/>
      <c r="N137" s="55"/>
      <c r="O137" s="55"/>
    </row>
    <row r="138" spans="1:15">
      <c r="A138" s="60" t="s">
        <v>1</v>
      </c>
      <c r="B138" s="58"/>
      <c r="C138" s="61">
        <f>+D4</f>
        <v>5</v>
      </c>
      <c r="D138" s="36"/>
      <c r="E138" s="36"/>
      <c r="F138" s="62">
        <v>15860</v>
      </c>
      <c r="G138" s="63">
        <f>+C138*F138</f>
        <v>79300</v>
      </c>
      <c r="I138" s="36"/>
      <c r="J138" s="36"/>
      <c r="K138" s="54"/>
      <c r="L138" s="54"/>
      <c r="M138" s="54"/>
      <c r="N138" s="55"/>
      <c r="O138" s="55"/>
    </row>
    <row r="139" spans="1:15">
      <c r="A139" s="60" t="s">
        <v>47</v>
      </c>
      <c r="B139" s="58"/>
      <c r="C139" s="61">
        <f>+E7+E11+E15+E17+E22+E28+E33+E38+E43+E46+E48+E50+E57+E62+E67+E75+E78+E94+E100+E104+E108+E111+E117+E123+E126+E128+E134</f>
        <v>982.32500000000005</v>
      </c>
      <c r="D139" s="61"/>
      <c r="E139" s="61"/>
      <c r="F139" s="62">
        <v>3500</v>
      </c>
      <c r="G139" s="63">
        <f>+C139*F139</f>
        <v>3438137.5</v>
      </c>
      <c r="I139" s="36"/>
      <c r="J139" s="36"/>
      <c r="K139" s="54"/>
      <c r="L139" s="54"/>
      <c r="M139" s="54"/>
      <c r="N139" s="55"/>
      <c r="O139" s="55"/>
    </row>
    <row r="140" spans="1:15">
      <c r="A140" s="61" t="s">
        <v>61</v>
      </c>
      <c r="B140" s="61"/>
      <c r="C140" s="61"/>
      <c r="D140" s="61"/>
      <c r="E140" s="61"/>
      <c r="F140" s="62"/>
      <c r="G140" s="63">
        <f>SUM(G137:G139)</f>
        <v>327346250.38999999</v>
      </c>
      <c r="I140" s="36"/>
      <c r="J140" s="36"/>
      <c r="K140" s="54"/>
      <c r="L140" s="54"/>
      <c r="M140" s="54"/>
      <c r="N140" s="55"/>
      <c r="O140" s="55"/>
    </row>
    <row r="141" spans="1:15">
      <c r="A141" s="36"/>
      <c r="B141" s="36"/>
      <c r="C141" s="36"/>
      <c r="D141" s="36"/>
      <c r="E141" s="36"/>
      <c r="F141" s="54"/>
      <c r="G141" s="55"/>
      <c r="I141" s="36"/>
      <c r="J141" s="36"/>
      <c r="K141" s="54"/>
      <c r="L141" s="54"/>
      <c r="M141" s="54"/>
      <c r="N141" s="55"/>
      <c r="O141" s="55"/>
    </row>
    <row r="142" spans="1:15">
      <c r="A142" s="36"/>
      <c r="B142" s="36"/>
      <c r="C142" s="36"/>
      <c r="D142" s="36"/>
      <c r="E142" s="36"/>
      <c r="F142" s="54"/>
      <c r="G142" s="55"/>
      <c r="I142" s="36"/>
      <c r="J142" s="36"/>
      <c r="K142" s="54"/>
      <c r="L142" s="54"/>
      <c r="M142" s="54"/>
      <c r="N142" s="55"/>
      <c r="O142" s="55"/>
    </row>
    <row r="143" spans="1:15">
      <c r="A143" s="36"/>
      <c r="B143" s="36"/>
      <c r="C143" s="36"/>
      <c r="D143" s="36"/>
      <c r="E143" s="36"/>
      <c r="F143" s="54"/>
      <c r="G143" s="55"/>
      <c r="I143" s="36"/>
      <c r="J143" s="36"/>
      <c r="K143" s="54"/>
      <c r="L143" s="54"/>
      <c r="M143" s="54"/>
      <c r="N143" s="55"/>
      <c r="O143" s="55"/>
    </row>
    <row r="144" spans="1:15">
      <c r="A144" s="36"/>
      <c r="B144" s="36"/>
      <c r="C144" s="36"/>
      <c r="D144" s="36"/>
      <c r="E144" s="36"/>
      <c r="F144" s="54"/>
      <c r="G144" s="55"/>
      <c r="I144" s="36"/>
      <c r="J144" s="36"/>
      <c r="K144" s="54"/>
      <c r="L144" s="54"/>
      <c r="M144" s="54"/>
      <c r="N144" s="55"/>
      <c r="O144" s="55"/>
    </row>
    <row r="145" spans="6:7">
      <c r="F145" s="1"/>
      <c r="G145" s="52"/>
    </row>
    <row r="146" spans="6:7">
      <c r="F146" s="1"/>
      <c r="G146" s="52"/>
    </row>
    <row r="147" spans="6:7">
      <c r="F147" s="1"/>
      <c r="G147" s="52"/>
    </row>
    <row r="148" spans="6:7">
      <c r="F148" s="1"/>
      <c r="G148" s="52"/>
    </row>
    <row r="149" spans="6:7">
      <c r="F149" s="1"/>
      <c r="G149" s="52"/>
    </row>
    <row r="150" spans="6:7">
      <c r="F150" s="1"/>
      <c r="G150" s="52"/>
    </row>
    <row r="151" spans="6:7">
      <c r="F151" s="1"/>
      <c r="G151" s="52"/>
    </row>
    <row r="152" spans="6:7">
      <c r="F152" s="1"/>
      <c r="G152" s="52"/>
    </row>
    <row r="153" spans="6:7">
      <c r="F153" s="1"/>
      <c r="G153" s="52"/>
    </row>
    <row r="154" spans="6:7">
      <c r="F154" s="1"/>
      <c r="G154" s="52"/>
    </row>
    <row r="155" spans="6:7">
      <c r="F155" s="1"/>
      <c r="G155" s="52"/>
    </row>
    <row r="156" spans="6:7">
      <c r="F156" s="1"/>
      <c r="G156" s="52"/>
    </row>
    <row r="157" spans="6:7">
      <c r="F157" s="1"/>
      <c r="G157" s="52"/>
    </row>
    <row r="158" spans="6:7">
      <c r="F158" s="1"/>
      <c r="G158" s="52"/>
    </row>
    <row r="159" spans="6:7">
      <c r="F159" s="1"/>
      <c r="G159" s="52"/>
    </row>
    <row r="160" spans="6:7">
      <c r="F160" s="1"/>
      <c r="G160" s="52"/>
    </row>
    <row r="161" spans="6:7">
      <c r="F161" s="1"/>
      <c r="G161" s="52"/>
    </row>
    <row r="162" spans="6:7">
      <c r="F162" s="1"/>
      <c r="G162" s="52"/>
    </row>
    <row r="163" spans="6:7">
      <c r="F163" s="1"/>
      <c r="G163" s="52"/>
    </row>
    <row r="164" spans="6:7">
      <c r="F164" s="1"/>
      <c r="G164" s="52"/>
    </row>
    <row r="165" spans="6:7">
      <c r="F165" s="1"/>
      <c r="G165" s="52"/>
    </row>
    <row r="166" spans="6:7">
      <c r="F166" s="1"/>
      <c r="G166" s="52"/>
    </row>
    <row r="167" spans="6:7">
      <c r="F167" s="1"/>
      <c r="G167" s="52"/>
    </row>
    <row r="168" spans="6:7">
      <c r="F168" s="1"/>
      <c r="G168" s="52"/>
    </row>
    <row r="169" spans="6:7">
      <c r="F169" s="1"/>
      <c r="G169" s="52"/>
    </row>
    <row r="170" spans="6:7">
      <c r="F170" s="1"/>
      <c r="G170" s="52"/>
    </row>
    <row r="171" spans="6:7">
      <c r="F171" s="1"/>
      <c r="G171" s="52"/>
    </row>
    <row r="172" spans="6:7">
      <c r="F172" s="1"/>
      <c r="G172" s="52"/>
    </row>
    <row r="173" spans="6:7">
      <c r="F173" s="1"/>
      <c r="G173" s="52"/>
    </row>
    <row r="174" spans="6:7">
      <c r="F174" s="1"/>
      <c r="G174" s="52"/>
    </row>
    <row r="175" spans="6:7">
      <c r="F175" s="1"/>
      <c r="G175" s="52"/>
    </row>
    <row r="176" spans="6:7">
      <c r="F176" s="1"/>
      <c r="G176" s="52"/>
    </row>
    <row r="177" spans="6:7">
      <c r="F177" s="1"/>
      <c r="G177" s="52"/>
    </row>
    <row r="178" spans="6:7">
      <c r="F178" s="1"/>
      <c r="G178" s="52"/>
    </row>
    <row r="179" spans="6:7">
      <c r="F179" s="1"/>
      <c r="G179" s="52"/>
    </row>
    <row r="180" spans="6:7">
      <c r="F180" s="1"/>
      <c r="G180" s="52"/>
    </row>
    <row r="181" spans="6:7">
      <c r="F181" s="1"/>
      <c r="G181" s="52"/>
    </row>
    <row r="182" spans="6:7">
      <c r="F182" s="1"/>
      <c r="G182" s="52"/>
    </row>
    <row r="183" spans="6:7">
      <c r="F183" s="1"/>
      <c r="G183" s="52"/>
    </row>
    <row r="184" spans="6:7">
      <c r="F184" s="1"/>
      <c r="G184" s="52"/>
    </row>
    <row r="185" spans="6:7">
      <c r="F185" s="1"/>
      <c r="G185" s="52"/>
    </row>
    <row r="186" spans="6:7">
      <c r="F186" s="1"/>
      <c r="G186" s="52"/>
    </row>
    <row r="187" spans="6:7">
      <c r="F187" s="1"/>
      <c r="G187" s="52"/>
    </row>
    <row r="188" spans="6:7">
      <c r="F188" s="1"/>
      <c r="G188" s="52"/>
    </row>
    <row r="189" spans="6:7">
      <c r="F189" s="1"/>
      <c r="G189" s="52"/>
    </row>
    <row r="190" spans="6:7">
      <c r="F190" s="1"/>
      <c r="G190" s="52"/>
    </row>
    <row r="191" spans="6:7">
      <c r="F191" s="1"/>
      <c r="G191" s="52"/>
    </row>
    <row r="192" spans="6:7">
      <c r="F192" s="1"/>
      <c r="G192" s="52"/>
    </row>
    <row r="193" spans="6:7">
      <c r="F193" s="1"/>
      <c r="G193" s="52"/>
    </row>
    <row r="194" spans="6:7">
      <c r="F194" s="1"/>
      <c r="G194" s="52"/>
    </row>
    <row r="195" spans="6:7">
      <c r="F195" s="1"/>
      <c r="G195" s="52"/>
    </row>
    <row r="196" spans="6:7">
      <c r="F196" s="1"/>
      <c r="G196" s="52"/>
    </row>
    <row r="197" spans="6:7">
      <c r="F197" s="1"/>
      <c r="G197" s="52"/>
    </row>
    <row r="198" spans="6:7">
      <c r="F198" s="1"/>
      <c r="G198" s="52"/>
    </row>
    <row r="199" spans="6:7">
      <c r="F199" s="1"/>
      <c r="G199" s="52"/>
    </row>
    <row r="200" spans="6:7">
      <c r="F200" s="1"/>
      <c r="G200" s="52"/>
    </row>
    <row r="201" spans="6:7">
      <c r="F201" s="1"/>
      <c r="G201" s="52"/>
    </row>
    <row r="202" spans="6:7">
      <c r="F202" s="1"/>
      <c r="G202" s="52"/>
    </row>
    <row r="203" spans="6:7">
      <c r="F203" s="1"/>
      <c r="G203" s="52"/>
    </row>
    <row r="204" spans="6:7">
      <c r="F204" s="1"/>
      <c r="G204" s="52"/>
    </row>
    <row r="205" spans="6:7">
      <c r="F205" s="1"/>
      <c r="G205" s="52"/>
    </row>
    <row r="206" spans="6:7">
      <c r="F206" s="1"/>
      <c r="G206" s="52"/>
    </row>
    <row r="207" spans="6:7">
      <c r="F207" s="1"/>
      <c r="G207" s="52"/>
    </row>
    <row r="208" spans="6:7">
      <c r="F208" s="1"/>
      <c r="G208" s="52"/>
    </row>
    <row r="209" spans="6:7">
      <c r="F209" s="1"/>
      <c r="G209" s="52"/>
    </row>
    <row r="210" spans="6:7">
      <c r="F210" s="1"/>
      <c r="G210" s="52"/>
    </row>
    <row r="211" spans="6:7">
      <c r="F211" s="1"/>
      <c r="G211" s="52"/>
    </row>
    <row r="212" spans="6:7">
      <c r="F212" s="1"/>
      <c r="G212" s="52"/>
    </row>
    <row r="213" spans="6:7">
      <c r="F213" s="1"/>
      <c r="G213" s="52"/>
    </row>
    <row r="214" spans="6:7">
      <c r="F214" s="1"/>
      <c r="G214" s="52"/>
    </row>
    <row r="215" spans="6:7">
      <c r="F215" s="1"/>
      <c r="G215" s="52"/>
    </row>
    <row r="216" spans="6:7">
      <c r="F216" s="1"/>
      <c r="G216" s="52"/>
    </row>
    <row r="217" spans="6:7">
      <c r="F217" s="1"/>
      <c r="G217" s="52"/>
    </row>
    <row r="218" spans="6:7">
      <c r="F218" s="1"/>
      <c r="G218" s="52"/>
    </row>
    <row r="219" spans="6:7">
      <c r="F219" s="1"/>
      <c r="G219" s="52"/>
    </row>
    <row r="220" spans="6:7">
      <c r="F220" s="1"/>
      <c r="G220" s="52"/>
    </row>
    <row r="221" spans="6:7">
      <c r="F221" s="1"/>
      <c r="G221" s="52"/>
    </row>
    <row r="222" spans="6:7">
      <c r="F222" s="1"/>
      <c r="G222" s="52"/>
    </row>
    <row r="223" spans="6:7">
      <c r="F223" s="1"/>
      <c r="G223" s="52"/>
    </row>
    <row r="224" spans="6:7">
      <c r="F224" s="1"/>
      <c r="G224" s="52"/>
    </row>
    <row r="225" spans="6:7">
      <c r="F225" s="1"/>
      <c r="G225" s="52"/>
    </row>
    <row r="226" spans="6:7">
      <c r="F226" s="1"/>
      <c r="G226" s="52"/>
    </row>
    <row r="227" spans="6:7">
      <c r="F227" s="1"/>
      <c r="G227" s="52"/>
    </row>
    <row r="228" spans="6:7">
      <c r="F228" s="1"/>
      <c r="G228" s="52"/>
    </row>
    <row r="229" spans="6:7">
      <c r="F229" s="1"/>
      <c r="G229" s="52"/>
    </row>
    <row r="230" spans="6:7">
      <c r="F230" s="1"/>
      <c r="G230" s="52"/>
    </row>
    <row r="231" spans="6:7">
      <c r="F231" s="1"/>
      <c r="G231" s="52"/>
    </row>
    <row r="232" spans="6:7">
      <c r="F232" s="1"/>
      <c r="G232" s="52"/>
    </row>
    <row r="233" spans="6:7">
      <c r="F233" s="1"/>
      <c r="G233" s="52"/>
    </row>
    <row r="234" spans="6:7">
      <c r="F234" s="1"/>
      <c r="G234" s="52"/>
    </row>
    <row r="235" spans="6:7">
      <c r="F235" s="1"/>
      <c r="G235" s="52"/>
    </row>
    <row r="236" spans="6:7">
      <c r="F236" s="1"/>
      <c r="G236" s="52"/>
    </row>
    <row r="237" spans="6:7">
      <c r="F237" s="1"/>
      <c r="G237" s="52"/>
    </row>
    <row r="238" spans="6:7">
      <c r="F238" s="1"/>
      <c r="G238" s="52"/>
    </row>
    <row r="239" spans="6:7">
      <c r="F239" s="1"/>
      <c r="G239" s="52"/>
    </row>
    <row r="240" spans="6:7">
      <c r="F240" s="1"/>
      <c r="G240" s="52"/>
    </row>
    <row r="241" spans="6:7">
      <c r="F241" s="1"/>
      <c r="G241" s="52"/>
    </row>
    <row r="242" spans="6:7">
      <c r="F242" s="1"/>
      <c r="G242" s="52"/>
    </row>
    <row r="243" spans="6:7">
      <c r="F243" s="1"/>
      <c r="G243" s="52"/>
    </row>
    <row r="244" spans="6:7">
      <c r="F244" s="1"/>
      <c r="G244" s="52"/>
    </row>
    <row r="245" spans="6:7">
      <c r="F245" s="1"/>
      <c r="G245" s="52"/>
    </row>
    <row r="246" spans="6:7">
      <c r="F246" s="1"/>
      <c r="G246" s="52"/>
    </row>
    <row r="247" spans="6:7">
      <c r="F247" s="1"/>
      <c r="G247" s="52"/>
    </row>
    <row r="248" spans="6:7">
      <c r="F248" s="1"/>
      <c r="G248" s="52"/>
    </row>
    <row r="249" spans="6:7">
      <c r="F249" s="1"/>
      <c r="G249" s="52"/>
    </row>
    <row r="250" spans="6:7">
      <c r="F250" s="1"/>
      <c r="G250" s="52"/>
    </row>
    <row r="251" spans="6:7">
      <c r="F251" s="1"/>
      <c r="G251" s="52"/>
    </row>
    <row r="252" spans="6:7">
      <c r="F252" s="1"/>
      <c r="G252" s="52"/>
    </row>
    <row r="253" spans="6:7">
      <c r="F253" s="1"/>
      <c r="G253" s="52"/>
    </row>
    <row r="254" spans="6:7">
      <c r="F254" s="1"/>
      <c r="G254" s="52"/>
    </row>
    <row r="255" spans="6:7">
      <c r="F255" s="1"/>
      <c r="G255" s="52"/>
    </row>
    <row r="256" spans="6:7">
      <c r="F256" s="1"/>
      <c r="G256" s="52"/>
    </row>
    <row r="257" spans="6:7">
      <c r="F257" s="1"/>
      <c r="G257" s="52"/>
    </row>
    <row r="258" spans="6:7">
      <c r="F258" s="1"/>
      <c r="G258" s="52"/>
    </row>
    <row r="259" spans="6:7">
      <c r="F259" s="1"/>
      <c r="G259" s="52"/>
    </row>
    <row r="260" spans="6:7">
      <c r="F260" s="1"/>
      <c r="G260" s="52"/>
    </row>
    <row r="261" spans="6:7">
      <c r="F261" s="1"/>
      <c r="G261" s="52"/>
    </row>
    <row r="262" spans="6:7">
      <c r="F262" s="1"/>
      <c r="G262" s="52"/>
    </row>
    <row r="263" spans="6:7">
      <c r="F263" s="1"/>
      <c r="G263" s="52"/>
    </row>
    <row r="264" spans="6:7">
      <c r="F264" s="1"/>
      <c r="G264" s="52"/>
    </row>
    <row r="265" spans="6:7">
      <c r="F265" s="1"/>
      <c r="G265" s="52"/>
    </row>
    <row r="266" spans="6:7">
      <c r="F266" s="1"/>
      <c r="G266" s="52"/>
    </row>
    <row r="267" spans="6:7">
      <c r="F267" s="1"/>
      <c r="G267" s="52"/>
    </row>
    <row r="268" spans="6:7">
      <c r="F268" s="1"/>
      <c r="G268" s="52"/>
    </row>
    <row r="269" spans="6:7">
      <c r="F269" s="1"/>
      <c r="G269" s="52"/>
    </row>
    <row r="270" spans="6:7">
      <c r="F270" s="1"/>
      <c r="G270" s="52"/>
    </row>
    <row r="271" spans="6:7">
      <c r="F271" s="1"/>
      <c r="G271" s="52"/>
    </row>
    <row r="272" spans="6:7">
      <c r="F272" s="1"/>
      <c r="G272" s="52"/>
    </row>
    <row r="273" spans="6:7">
      <c r="F273" s="1"/>
      <c r="G273" s="52"/>
    </row>
    <row r="274" spans="6:7">
      <c r="F274" s="1"/>
      <c r="G274" s="52"/>
    </row>
    <row r="275" spans="6:7">
      <c r="F275" s="1"/>
      <c r="G275" s="52"/>
    </row>
    <row r="276" spans="6:7">
      <c r="F276" s="1"/>
      <c r="G276" s="52"/>
    </row>
    <row r="277" spans="6:7">
      <c r="F277" s="1"/>
      <c r="G277" s="52"/>
    </row>
    <row r="278" spans="6:7">
      <c r="F278" s="1"/>
      <c r="G278" s="52"/>
    </row>
    <row r="279" spans="6:7">
      <c r="F279" s="1"/>
      <c r="G279" s="52"/>
    </row>
    <row r="280" spans="6:7">
      <c r="F280" s="1"/>
      <c r="G280" s="52"/>
    </row>
    <row r="281" spans="6:7">
      <c r="F281" s="1"/>
      <c r="G281" s="52"/>
    </row>
    <row r="282" spans="6:7">
      <c r="F282" s="1"/>
      <c r="G282" s="52"/>
    </row>
    <row r="283" spans="6:7">
      <c r="F283" s="1"/>
      <c r="G283" s="52"/>
    </row>
    <row r="284" spans="6:7">
      <c r="F284" s="1"/>
      <c r="G284" s="52"/>
    </row>
    <row r="285" spans="6:7">
      <c r="F285" s="1"/>
      <c r="G285" s="52"/>
    </row>
    <row r="286" spans="6:7">
      <c r="F286" s="1"/>
      <c r="G286" s="52"/>
    </row>
    <row r="287" spans="6:7">
      <c r="F287" s="1"/>
      <c r="G287" s="52"/>
    </row>
    <row r="288" spans="6:7">
      <c r="F288" s="1"/>
      <c r="G288" s="52"/>
    </row>
    <row r="289" spans="6:7">
      <c r="F289" s="1"/>
      <c r="G289" s="52"/>
    </row>
    <row r="290" spans="6:7">
      <c r="F290" s="1"/>
      <c r="G290" s="52"/>
    </row>
    <row r="291" spans="6:7">
      <c r="F291" s="1"/>
      <c r="G291" s="52"/>
    </row>
    <row r="292" spans="6:7">
      <c r="F292" s="1"/>
      <c r="G292" s="52"/>
    </row>
    <row r="293" spans="6:7">
      <c r="F293" s="1"/>
      <c r="G293" s="52"/>
    </row>
    <row r="294" spans="6:7">
      <c r="F294" s="1"/>
      <c r="G294" s="52"/>
    </row>
    <row r="295" spans="6:7">
      <c r="F295" s="1"/>
      <c r="G295" s="52"/>
    </row>
    <row r="296" spans="6:7">
      <c r="F296" s="1"/>
      <c r="G296" s="52"/>
    </row>
    <row r="297" spans="6:7">
      <c r="F297" s="1"/>
      <c r="G297" s="52"/>
    </row>
    <row r="298" spans="6:7">
      <c r="F298" s="1"/>
      <c r="G298" s="52"/>
    </row>
    <row r="299" spans="6:7">
      <c r="F299" s="1"/>
      <c r="G299" s="52"/>
    </row>
    <row r="300" spans="6:7">
      <c r="F300" s="1"/>
      <c r="G300" s="52"/>
    </row>
    <row r="301" spans="6:7">
      <c r="F301" s="1"/>
      <c r="G301" s="52"/>
    </row>
    <row r="302" spans="6:7">
      <c r="F302" s="1"/>
      <c r="G302" s="52"/>
    </row>
    <row r="303" spans="6:7">
      <c r="F303" s="1"/>
      <c r="G303" s="52"/>
    </row>
    <row r="304" spans="6:7">
      <c r="F304" s="1"/>
      <c r="G304" s="52"/>
    </row>
    <row r="305" spans="6:7">
      <c r="F305" s="1"/>
      <c r="G305" s="52"/>
    </row>
    <row r="306" spans="6:7">
      <c r="F306" s="1"/>
      <c r="G306" s="52"/>
    </row>
    <row r="307" spans="6:7">
      <c r="F307" s="1"/>
      <c r="G307" s="52"/>
    </row>
    <row r="308" spans="6:7">
      <c r="F308" s="1"/>
      <c r="G308" s="52"/>
    </row>
    <row r="309" spans="6:7">
      <c r="F309" s="1"/>
      <c r="G309" s="52"/>
    </row>
    <row r="310" spans="6:7">
      <c r="F310" s="1"/>
      <c r="G310" s="52"/>
    </row>
    <row r="311" spans="6:7">
      <c r="F311" s="1"/>
      <c r="G311" s="52"/>
    </row>
    <row r="312" spans="6:7">
      <c r="F312" s="1"/>
      <c r="G312" s="52"/>
    </row>
    <row r="313" spans="6:7">
      <c r="F313" s="1"/>
      <c r="G313" s="52"/>
    </row>
    <row r="314" spans="6:7">
      <c r="F314" s="1"/>
      <c r="G314" s="52"/>
    </row>
    <row r="315" spans="6:7">
      <c r="F315" s="1"/>
      <c r="G315" s="52"/>
    </row>
    <row r="316" spans="6:7">
      <c r="F316" s="1"/>
      <c r="G316" s="52"/>
    </row>
    <row r="317" spans="6:7">
      <c r="F317" s="1"/>
      <c r="G317" s="52"/>
    </row>
    <row r="318" spans="6:7">
      <c r="F318" s="1"/>
      <c r="G318" s="52"/>
    </row>
    <row r="319" spans="6:7">
      <c r="F319" s="1"/>
      <c r="G319" s="52"/>
    </row>
    <row r="320" spans="6:7">
      <c r="F320" s="1"/>
      <c r="G320" s="52"/>
    </row>
    <row r="321" spans="6:7">
      <c r="F321" s="1"/>
      <c r="G321" s="52"/>
    </row>
    <row r="322" spans="6:7">
      <c r="F322" s="1"/>
      <c r="G322" s="52"/>
    </row>
    <row r="323" spans="6:7">
      <c r="F323" s="1"/>
      <c r="G323" s="52"/>
    </row>
    <row r="324" spans="6:7">
      <c r="F324" s="1"/>
      <c r="G324" s="52"/>
    </row>
    <row r="325" spans="6:7">
      <c r="F325" s="1"/>
      <c r="G325" s="52"/>
    </row>
    <row r="326" spans="6:7">
      <c r="F326" s="1"/>
      <c r="G326" s="52"/>
    </row>
    <row r="327" spans="6:7">
      <c r="F327" s="1"/>
      <c r="G327" s="52"/>
    </row>
    <row r="328" spans="6:7">
      <c r="F328" s="1"/>
      <c r="G328" s="52"/>
    </row>
    <row r="329" spans="6:7">
      <c r="F329" s="1"/>
      <c r="G329" s="52"/>
    </row>
    <row r="330" spans="6:7">
      <c r="F330" s="1"/>
      <c r="G330" s="52"/>
    </row>
    <row r="331" spans="6:7">
      <c r="F331" s="1"/>
      <c r="G331" s="52"/>
    </row>
    <row r="332" spans="6:7">
      <c r="F332" s="1"/>
      <c r="G332" s="52"/>
    </row>
    <row r="333" spans="6:7">
      <c r="F333" s="1"/>
      <c r="G333" s="52"/>
    </row>
    <row r="334" spans="6:7">
      <c r="F334" s="1"/>
      <c r="G334" s="52"/>
    </row>
    <row r="335" spans="6:7">
      <c r="F335" s="1"/>
      <c r="G335" s="52"/>
    </row>
    <row r="336" spans="6:7">
      <c r="F336" s="1"/>
      <c r="G336" s="52"/>
    </row>
    <row r="337" spans="6:7">
      <c r="F337" s="1"/>
      <c r="G337" s="52"/>
    </row>
    <row r="338" spans="6:7">
      <c r="F338" s="1"/>
      <c r="G338" s="52"/>
    </row>
    <row r="339" spans="6:7">
      <c r="F339" s="1"/>
      <c r="G339" s="52"/>
    </row>
    <row r="340" spans="6:7">
      <c r="F340" s="1"/>
      <c r="G340" s="52"/>
    </row>
    <row r="341" spans="6:7">
      <c r="F341" s="1"/>
      <c r="G341" s="52"/>
    </row>
    <row r="342" spans="6:7">
      <c r="F342" s="1"/>
      <c r="G342" s="52"/>
    </row>
    <row r="343" spans="6:7">
      <c r="F343" s="1"/>
      <c r="G343" s="52"/>
    </row>
    <row r="344" spans="6:7">
      <c r="F344" s="1"/>
      <c r="G344" s="52"/>
    </row>
    <row r="345" spans="6:7">
      <c r="F345" s="1"/>
      <c r="G345" s="52"/>
    </row>
    <row r="346" spans="6:7">
      <c r="F346" s="1"/>
      <c r="G346" s="52"/>
    </row>
    <row r="347" spans="6:7">
      <c r="F347" s="1"/>
      <c r="G347" s="52"/>
    </row>
    <row r="348" spans="6:7">
      <c r="F348" s="1"/>
      <c r="G348" s="52"/>
    </row>
    <row r="349" spans="6:7">
      <c r="F349" s="1"/>
      <c r="G349" s="52"/>
    </row>
    <row r="350" spans="6:7">
      <c r="F350" s="1"/>
      <c r="G350" s="52"/>
    </row>
    <row r="351" spans="6:7">
      <c r="F351" s="1"/>
      <c r="G351" s="52"/>
    </row>
    <row r="352" spans="6:7">
      <c r="F352" s="1"/>
      <c r="G352" s="52"/>
    </row>
    <row r="353" spans="6:7">
      <c r="F353" s="1"/>
      <c r="G353" s="52"/>
    </row>
    <row r="354" spans="6:7">
      <c r="F354" s="1"/>
      <c r="G354" s="52"/>
    </row>
    <row r="355" spans="6:7">
      <c r="F355" s="1"/>
      <c r="G355" s="52"/>
    </row>
    <row r="356" spans="6:7">
      <c r="F356" s="1"/>
      <c r="G356" s="52"/>
    </row>
    <row r="357" spans="6:7">
      <c r="F357" s="1"/>
      <c r="G357" s="52"/>
    </row>
    <row r="358" spans="6:7">
      <c r="F358" s="1"/>
      <c r="G358" s="52"/>
    </row>
    <row r="359" spans="6:7">
      <c r="F359" s="1"/>
      <c r="G359" s="52"/>
    </row>
    <row r="360" spans="6:7">
      <c r="F360" s="1"/>
      <c r="G360" s="52"/>
    </row>
    <row r="361" spans="6:7">
      <c r="F361" s="1"/>
      <c r="G361" s="52"/>
    </row>
    <row r="362" spans="6:7">
      <c r="F362" s="1"/>
      <c r="G362" s="52"/>
    </row>
    <row r="363" spans="6:7">
      <c r="F363" s="1"/>
      <c r="G363" s="52"/>
    </row>
    <row r="364" spans="6:7">
      <c r="F364" s="1"/>
      <c r="G364" s="52"/>
    </row>
    <row r="365" spans="6:7">
      <c r="F365" s="1"/>
      <c r="G365" s="52"/>
    </row>
    <row r="366" spans="6:7">
      <c r="F366" s="1"/>
      <c r="G366" s="52"/>
    </row>
    <row r="367" spans="6:7">
      <c r="F367" s="1"/>
      <c r="G367" s="52"/>
    </row>
    <row r="368" spans="6:7">
      <c r="F368" s="1"/>
      <c r="G368" s="52"/>
    </row>
    <row r="369" spans="6:7">
      <c r="F369" s="1"/>
      <c r="G369" s="52"/>
    </row>
    <row r="370" spans="6:7">
      <c r="F370" s="1"/>
      <c r="G370" s="52"/>
    </row>
    <row r="371" spans="6:7">
      <c r="F371" s="1"/>
      <c r="G371" s="52"/>
    </row>
    <row r="372" spans="6:7">
      <c r="F372" s="1"/>
      <c r="G372" s="52"/>
    </row>
    <row r="373" spans="6:7">
      <c r="F373" s="1"/>
      <c r="G373" s="52"/>
    </row>
    <row r="374" spans="6:7">
      <c r="F374" s="1"/>
      <c r="G374" s="52"/>
    </row>
    <row r="375" spans="6:7">
      <c r="F375" s="1"/>
      <c r="G375" s="52"/>
    </row>
    <row r="376" spans="6:7">
      <c r="F376" s="1"/>
      <c r="G376" s="52"/>
    </row>
    <row r="377" spans="6:7">
      <c r="F377" s="1"/>
      <c r="G377" s="52"/>
    </row>
    <row r="378" spans="6:7">
      <c r="F378" s="1"/>
      <c r="G378" s="52"/>
    </row>
    <row r="379" spans="6:7">
      <c r="F379" s="1"/>
      <c r="G379" s="52"/>
    </row>
    <row r="380" spans="6:7">
      <c r="F380" s="1"/>
      <c r="G380" s="52"/>
    </row>
    <row r="381" spans="6:7">
      <c r="F381" s="1"/>
      <c r="G381" s="52"/>
    </row>
    <row r="382" spans="6:7">
      <c r="F382" s="1"/>
      <c r="G382" s="52"/>
    </row>
    <row r="383" spans="6:7">
      <c r="F383" s="1"/>
      <c r="G383" s="52"/>
    </row>
    <row r="384" spans="6:7">
      <c r="F384" s="1"/>
      <c r="G384" s="52"/>
    </row>
    <row r="385" spans="7:7">
      <c r="G385" s="52"/>
    </row>
    <row r="386" spans="7:7">
      <c r="G386" s="52"/>
    </row>
    <row r="387" spans="7:7">
      <c r="G387" s="52"/>
    </row>
    <row r="388" spans="7:7">
      <c r="G388" s="52"/>
    </row>
    <row r="389" spans="7:7">
      <c r="G389" s="52"/>
    </row>
    <row r="390" spans="7:7">
      <c r="G390" s="52"/>
    </row>
    <row r="391" spans="7:7">
      <c r="G391" s="52"/>
    </row>
    <row r="392" spans="7:7">
      <c r="G392" s="52"/>
    </row>
    <row r="393" spans="7:7">
      <c r="G393" s="52"/>
    </row>
    <row r="394" spans="7:7">
      <c r="G394" s="52"/>
    </row>
  </sheetData>
  <mergeCells count="2">
    <mergeCell ref="A1:G1"/>
    <mergeCell ref="J1:O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00486-FC48-4255-B80C-9E4E37561CD3}">
  <sheetPr>
    <tabColor theme="4" tint="-0.499984740745262"/>
  </sheetPr>
  <dimension ref="A1:I38"/>
  <sheetViews>
    <sheetView showGridLines="0" zoomScale="80" zoomScaleNormal="80" workbookViewId="0">
      <selection activeCell="B7" sqref="B7"/>
    </sheetView>
  </sheetViews>
  <sheetFormatPr baseColWidth="10" defaultRowHeight="15"/>
  <cols>
    <col min="1" max="1" width="12.5703125" customWidth="1"/>
    <col min="2" max="2" width="15" customWidth="1"/>
    <col min="3" max="3" width="17.42578125" style="52" customWidth="1"/>
    <col min="4" max="4" width="20.5703125" bestFit="1" customWidth="1"/>
    <col min="5" max="5" width="14.85546875" bestFit="1" customWidth="1"/>
    <col min="6" max="6" width="19.42578125" style="52" customWidth="1"/>
    <col min="7" max="7" width="15.140625" customWidth="1"/>
    <col min="8" max="8" width="12.42578125" customWidth="1"/>
    <col min="9" max="9" width="16.5703125" style="52" bestFit="1" customWidth="1"/>
  </cols>
  <sheetData>
    <row r="1" spans="1:9">
      <c r="A1" s="125" t="s">
        <v>120</v>
      </c>
      <c r="B1" s="125"/>
      <c r="C1" s="125"/>
      <c r="D1" s="125"/>
      <c r="E1" s="125"/>
      <c r="F1" s="125"/>
      <c r="G1" s="125"/>
      <c r="H1" s="125"/>
      <c r="I1" s="125"/>
    </row>
    <row r="2" spans="1:9">
      <c r="A2" s="126" t="s">
        <v>121</v>
      </c>
      <c r="B2" s="126"/>
      <c r="C2" s="126"/>
      <c r="D2" s="126"/>
      <c r="E2" s="126"/>
      <c r="F2" s="126"/>
      <c r="G2" s="126"/>
      <c r="H2" s="126"/>
      <c r="I2" s="126"/>
    </row>
    <row r="3" spans="1:9">
      <c r="A3" s="74" t="s">
        <v>107</v>
      </c>
      <c r="B3" s="75" t="s">
        <v>117</v>
      </c>
      <c r="C3" s="95" t="s">
        <v>116</v>
      </c>
      <c r="D3" s="76" t="s">
        <v>107</v>
      </c>
      <c r="E3" s="77" t="s">
        <v>118</v>
      </c>
      <c r="F3" s="96" t="s">
        <v>116</v>
      </c>
      <c r="G3" s="78" t="s">
        <v>107</v>
      </c>
      <c r="H3" s="79" t="s">
        <v>119</v>
      </c>
      <c r="I3" s="97" t="s">
        <v>116</v>
      </c>
    </row>
    <row r="4" spans="1:9">
      <c r="A4" s="101">
        <v>46113</v>
      </c>
      <c r="B4" s="102">
        <v>1702.8889999999999</v>
      </c>
      <c r="C4" s="103">
        <v>26455921</v>
      </c>
      <c r="D4" s="101">
        <v>46113</v>
      </c>
      <c r="E4" s="102">
        <v>6638.07</v>
      </c>
      <c r="F4" s="103">
        <v>71231431</v>
      </c>
      <c r="G4" s="101">
        <v>46113</v>
      </c>
      <c r="H4" s="102">
        <v>237.63399999999999</v>
      </c>
      <c r="I4" s="103">
        <v>831723</v>
      </c>
    </row>
    <row r="5" spans="1:9">
      <c r="A5" s="53">
        <v>46114</v>
      </c>
      <c r="B5" s="80">
        <v>1595.98</v>
      </c>
      <c r="C5" s="55">
        <v>25087091</v>
      </c>
      <c r="D5" s="53">
        <v>46114</v>
      </c>
      <c r="E5" s="80">
        <v>2305.1869999999999</v>
      </c>
      <c r="F5" s="55">
        <v>24826790</v>
      </c>
      <c r="G5" s="53">
        <v>46114</v>
      </c>
      <c r="H5" s="80">
        <v>94.39</v>
      </c>
      <c r="I5" s="55">
        <v>330366</v>
      </c>
    </row>
    <row r="6" spans="1:9">
      <c r="A6" s="101">
        <v>46115</v>
      </c>
      <c r="B6" s="102">
        <v>1330.9369999999999</v>
      </c>
      <c r="C6" s="103">
        <v>20919908</v>
      </c>
      <c r="D6" s="101">
        <v>46115</v>
      </c>
      <c r="E6" s="102">
        <v>1367.73</v>
      </c>
      <c r="F6" s="103">
        <v>14730447</v>
      </c>
      <c r="G6" s="101">
        <v>46115</v>
      </c>
      <c r="H6" s="102">
        <v>52.817</v>
      </c>
      <c r="I6" s="103">
        <v>184861</v>
      </c>
    </row>
    <row r="7" spans="1:9">
      <c r="A7" s="53">
        <v>46116</v>
      </c>
      <c r="B7" s="80">
        <v>2305.4920000000002</v>
      </c>
      <c r="C7" s="55">
        <v>36240552</v>
      </c>
      <c r="D7" s="53">
        <v>46116</v>
      </c>
      <c r="E7" s="80">
        <v>3067.9839999999999</v>
      </c>
      <c r="F7" s="55">
        <v>33042198</v>
      </c>
      <c r="G7" s="53">
        <v>46116</v>
      </c>
      <c r="H7" s="80">
        <v>42.167000000000002</v>
      </c>
      <c r="I7" s="55">
        <v>147585</v>
      </c>
    </row>
    <row r="8" spans="1:9">
      <c r="A8" s="101">
        <v>46117</v>
      </c>
      <c r="B8" s="102">
        <v>1690.3340000000001</v>
      </c>
      <c r="C8" s="103">
        <v>26569720</v>
      </c>
      <c r="D8" s="101">
        <v>46117</v>
      </c>
      <c r="E8" s="102">
        <v>1975.328</v>
      </c>
      <c r="F8" s="103">
        <v>21274286</v>
      </c>
      <c r="G8" s="101">
        <v>46117</v>
      </c>
      <c r="H8" s="102">
        <v>42.85</v>
      </c>
      <c r="I8" s="103">
        <v>149975</v>
      </c>
    </row>
    <row r="9" spans="1:9">
      <c r="A9" s="53">
        <v>46118</v>
      </c>
      <c r="B9" s="80">
        <v>1470.4960000000001</v>
      </c>
      <c r="C9" s="55">
        <v>23088914</v>
      </c>
      <c r="D9" s="53">
        <v>46118</v>
      </c>
      <c r="E9" s="80">
        <v>8399.1530000000002</v>
      </c>
      <c r="F9" s="55">
        <v>90458944</v>
      </c>
      <c r="G9" s="53">
        <v>46118</v>
      </c>
      <c r="H9" s="80">
        <v>285.84800000000001</v>
      </c>
      <c r="I9" s="55">
        <v>1000473</v>
      </c>
    </row>
    <row r="10" spans="1:9">
      <c r="A10" s="101">
        <v>46119</v>
      </c>
      <c r="B10" s="102">
        <v>907.67600000000004</v>
      </c>
      <c r="C10" s="103">
        <v>14267237</v>
      </c>
      <c r="D10" s="101">
        <v>46119</v>
      </c>
      <c r="E10" s="102">
        <v>10435.493</v>
      </c>
      <c r="F10" s="103">
        <v>112390263</v>
      </c>
      <c r="G10" s="101">
        <v>46119</v>
      </c>
      <c r="H10" s="102">
        <v>238.31700000000001</v>
      </c>
      <c r="I10" s="103">
        <v>834112</v>
      </c>
    </row>
    <row r="11" spans="1:9">
      <c r="A11" s="53">
        <v>46120</v>
      </c>
      <c r="B11" s="80">
        <v>1428.42</v>
      </c>
      <c r="C11" s="55">
        <v>22453191</v>
      </c>
      <c r="D11" s="53">
        <v>46120</v>
      </c>
      <c r="E11" s="80">
        <v>8842.2099999999991</v>
      </c>
      <c r="F11" s="55">
        <v>95164634</v>
      </c>
      <c r="G11" s="53">
        <v>46120</v>
      </c>
      <c r="H11" s="80">
        <v>299.05</v>
      </c>
      <c r="I11" s="55">
        <v>1046677</v>
      </c>
    </row>
    <row r="12" spans="1:9">
      <c r="A12" s="101">
        <v>46121</v>
      </c>
      <c r="B12" s="102">
        <v>1109.212</v>
      </c>
      <c r="C12" s="103">
        <v>17435015</v>
      </c>
      <c r="D12" s="101">
        <v>46121</v>
      </c>
      <c r="E12" s="102">
        <v>8947.848</v>
      </c>
      <c r="F12" s="103">
        <v>96365172</v>
      </c>
      <c r="G12" s="101">
        <v>46121</v>
      </c>
      <c r="H12" s="102">
        <v>379.572</v>
      </c>
      <c r="I12" s="103">
        <v>1328507</v>
      </c>
    </row>
    <row r="13" spans="1:9">
      <c r="A13" s="53">
        <v>46122</v>
      </c>
      <c r="B13" s="80">
        <v>1242.174</v>
      </c>
      <c r="C13" s="55">
        <v>19499504</v>
      </c>
      <c r="D13" s="53">
        <v>46122</v>
      </c>
      <c r="E13" s="80">
        <v>8945.8410000000003</v>
      </c>
      <c r="F13" s="55">
        <v>96300851</v>
      </c>
      <c r="G13" s="53">
        <v>46122</v>
      </c>
      <c r="H13" s="80">
        <v>160.25899999999999</v>
      </c>
      <c r="I13" s="55">
        <v>560905</v>
      </c>
    </row>
    <row r="14" spans="1:9">
      <c r="A14" s="101">
        <v>46123</v>
      </c>
      <c r="B14" s="102">
        <v>1072.981</v>
      </c>
      <c r="C14" s="103">
        <v>16865933</v>
      </c>
      <c r="D14" s="101">
        <v>46123</v>
      </c>
      <c r="E14" s="102">
        <v>7954.6490000000003</v>
      </c>
      <c r="F14" s="103">
        <v>85671561</v>
      </c>
      <c r="G14" s="101">
        <v>46123</v>
      </c>
      <c r="H14" s="102">
        <v>223.285</v>
      </c>
      <c r="I14" s="103">
        <v>781500</v>
      </c>
    </row>
    <row r="15" spans="1:9">
      <c r="A15" s="53">
        <v>46124</v>
      </c>
      <c r="B15" s="80">
        <v>913.68899999999996</v>
      </c>
      <c r="C15" s="55">
        <v>14361181</v>
      </c>
      <c r="D15" s="53">
        <v>46124</v>
      </c>
      <c r="E15" s="80">
        <v>3507.0140000000001</v>
      </c>
      <c r="F15" s="55">
        <v>37770560</v>
      </c>
      <c r="G15" s="53">
        <v>46124</v>
      </c>
      <c r="H15" s="80">
        <v>44.738</v>
      </c>
      <c r="I15" s="55">
        <v>156585</v>
      </c>
    </row>
    <row r="16" spans="1:9">
      <c r="A16" s="101">
        <v>46125</v>
      </c>
      <c r="B16" s="102">
        <v>1455.991</v>
      </c>
      <c r="C16" s="103">
        <v>22885828</v>
      </c>
      <c r="D16" s="101">
        <v>46125</v>
      </c>
      <c r="E16" s="102">
        <v>7413.79</v>
      </c>
      <c r="F16" s="103">
        <v>79767245</v>
      </c>
      <c r="G16" s="101">
        <v>46125</v>
      </c>
      <c r="H16" s="102">
        <v>214.107</v>
      </c>
      <c r="I16" s="103">
        <v>749377</v>
      </c>
    </row>
    <row r="17" spans="1:9">
      <c r="A17" s="53">
        <v>46126</v>
      </c>
      <c r="B17" s="80">
        <v>964.68700000000001</v>
      </c>
      <c r="C17" s="55">
        <v>15163146</v>
      </c>
      <c r="D17" s="53">
        <v>46126</v>
      </c>
      <c r="E17" s="80">
        <v>9143.4140000000007</v>
      </c>
      <c r="F17" s="55">
        <v>98445295</v>
      </c>
      <c r="G17" s="53">
        <v>46126</v>
      </c>
      <c r="H17" s="80">
        <v>404.37200000000001</v>
      </c>
      <c r="I17" s="55">
        <v>1415308</v>
      </c>
    </row>
    <row r="18" spans="1:9">
      <c r="A18" s="101">
        <v>46127</v>
      </c>
      <c r="B18" s="102">
        <v>980.90899999999999</v>
      </c>
      <c r="C18" s="103">
        <v>15417909</v>
      </c>
      <c r="D18" s="101">
        <v>46127</v>
      </c>
      <c r="E18" s="102">
        <v>8059.2290000000003</v>
      </c>
      <c r="F18" s="103">
        <v>86766601</v>
      </c>
      <c r="G18" s="101">
        <v>46127</v>
      </c>
      <c r="H18" s="102">
        <v>196.31800000000001</v>
      </c>
      <c r="I18" s="103">
        <v>687116</v>
      </c>
    </row>
    <row r="19" spans="1:9">
      <c r="A19" s="53">
        <v>46128</v>
      </c>
      <c r="B19" s="80">
        <v>1286.1079999999999</v>
      </c>
      <c r="C19" s="55">
        <v>20191188</v>
      </c>
      <c r="D19" s="53">
        <v>46128</v>
      </c>
      <c r="E19" s="80">
        <v>8418.15</v>
      </c>
      <c r="F19" s="55">
        <v>90663431</v>
      </c>
      <c r="G19" s="53">
        <v>46128</v>
      </c>
      <c r="H19" s="80">
        <v>160.44999999999999</v>
      </c>
      <c r="I19" s="55">
        <v>561577</v>
      </c>
    </row>
    <row r="20" spans="1:9">
      <c r="A20" s="101">
        <v>46129</v>
      </c>
      <c r="B20" s="102">
        <v>1088.3630000000001</v>
      </c>
      <c r="C20" s="103">
        <v>17107341</v>
      </c>
      <c r="D20" s="101">
        <v>46129</v>
      </c>
      <c r="E20" s="102">
        <v>7992.125</v>
      </c>
      <c r="F20" s="103">
        <v>86053472</v>
      </c>
      <c r="G20" s="101">
        <v>46129</v>
      </c>
      <c r="H20" s="102">
        <v>210.95</v>
      </c>
      <c r="I20" s="103">
        <v>738328</v>
      </c>
    </row>
    <row r="21" spans="1:9">
      <c r="A21" s="53">
        <v>46130</v>
      </c>
      <c r="B21" s="80">
        <v>1262.7739999999999</v>
      </c>
      <c r="C21" s="55">
        <v>19848200</v>
      </c>
      <c r="D21" s="53">
        <v>46130</v>
      </c>
      <c r="E21" s="80">
        <v>6911.0590000000002</v>
      </c>
      <c r="F21" s="55">
        <v>74432085</v>
      </c>
      <c r="G21" s="53">
        <v>46130</v>
      </c>
      <c r="H21" s="80">
        <v>427.15300000000002</v>
      </c>
      <c r="I21" s="55">
        <v>1495040</v>
      </c>
    </row>
    <row r="22" spans="1:9">
      <c r="A22" s="101">
        <v>46131</v>
      </c>
      <c r="B22" s="102">
        <v>813.56100000000004</v>
      </c>
      <c r="C22" s="103">
        <v>12787863</v>
      </c>
      <c r="D22" s="101">
        <v>46131</v>
      </c>
      <c r="E22" s="102">
        <v>3336.2109999999998</v>
      </c>
      <c r="F22" s="103">
        <v>35931010</v>
      </c>
      <c r="G22" s="101">
        <v>46131</v>
      </c>
      <c r="H22" s="102">
        <v>33.789000000000001</v>
      </c>
      <c r="I22" s="103">
        <v>118263</v>
      </c>
    </row>
    <row r="23" spans="1:9">
      <c r="A23" s="53">
        <v>46132</v>
      </c>
      <c r="B23" s="80">
        <v>1033.221</v>
      </c>
      <c r="C23" s="55">
        <v>16238816</v>
      </c>
      <c r="D23" s="53">
        <v>46132</v>
      </c>
      <c r="E23" s="80">
        <v>7597.152</v>
      </c>
      <c r="F23" s="55">
        <v>81821374</v>
      </c>
      <c r="G23" s="53">
        <v>46132</v>
      </c>
      <c r="H23" s="80">
        <v>207.88300000000001</v>
      </c>
      <c r="I23" s="55">
        <v>727594</v>
      </c>
    </row>
    <row r="24" spans="1:9">
      <c r="A24" s="101">
        <v>46133</v>
      </c>
      <c r="B24" s="102">
        <v>1204.9880000000001</v>
      </c>
      <c r="C24" s="103">
        <v>18915777</v>
      </c>
      <c r="D24" s="101">
        <v>46133</v>
      </c>
      <c r="E24" s="102">
        <v>9524.4240000000009</v>
      </c>
      <c r="F24" s="103">
        <v>102498872</v>
      </c>
      <c r="G24" s="101">
        <v>46133</v>
      </c>
      <c r="H24" s="102">
        <v>287.93900000000002</v>
      </c>
      <c r="I24" s="103">
        <v>1007791</v>
      </c>
    </row>
    <row r="25" spans="1:9">
      <c r="A25" s="53">
        <v>46134</v>
      </c>
      <c r="B25" s="80">
        <v>1482.6669999999999</v>
      </c>
      <c r="C25" s="55">
        <v>23305793</v>
      </c>
      <c r="D25" s="53">
        <v>46134</v>
      </c>
      <c r="E25" s="80">
        <v>10541.044</v>
      </c>
      <c r="F25" s="55">
        <v>113527037</v>
      </c>
      <c r="G25" s="53">
        <v>46134</v>
      </c>
      <c r="H25" s="80">
        <v>263.98599999999999</v>
      </c>
      <c r="I25" s="55">
        <v>923955</v>
      </c>
    </row>
    <row r="26" spans="1:9">
      <c r="A26" s="101">
        <v>46135</v>
      </c>
      <c r="B26" s="102">
        <v>940.42499999999995</v>
      </c>
      <c r="C26" s="103">
        <v>14781895</v>
      </c>
      <c r="D26" s="101">
        <v>46135</v>
      </c>
      <c r="E26" s="102">
        <v>7739.43</v>
      </c>
      <c r="F26" s="103">
        <v>83353751</v>
      </c>
      <c r="G26" s="101">
        <v>46135</v>
      </c>
      <c r="H26" s="102">
        <v>176.511</v>
      </c>
      <c r="I26" s="103">
        <v>617789</v>
      </c>
    </row>
    <row r="27" spans="1:9">
      <c r="A27" s="53">
        <v>46136</v>
      </c>
      <c r="B27" s="80">
        <v>1311.712</v>
      </c>
      <c r="C27" s="55">
        <v>20593676</v>
      </c>
      <c r="D27" s="53">
        <v>46136</v>
      </c>
      <c r="E27" s="80">
        <v>7592.26</v>
      </c>
      <c r="F27" s="55">
        <v>81768634</v>
      </c>
      <c r="G27" s="53">
        <v>46136</v>
      </c>
      <c r="H27" s="80">
        <v>132.90899999999999</v>
      </c>
      <c r="I27" s="55">
        <v>465184</v>
      </c>
    </row>
    <row r="28" spans="1:9">
      <c r="A28" s="101">
        <v>46137</v>
      </c>
      <c r="B28" s="102">
        <v>1314.425</v>
      </c>
      <c r="C28" s="103">
        <v>20661864</v>
      </c>
      <c r="D28" s="101">
        <v>46137</v>
      </c>
      <c r="E28" s="102">
        <v>6553.7150000000001</v>
      </c>
      <c r="F28" s="103">
        <v>70583654</v>
      </c>
      <c r="G28" s="101">
        <v>46137</v>
      </c>
      <c r="H28" s="102">
        <v>175.25200000000001</v>
      </c>
      <c r="I28" s="103">
        <v>613383</v>
      </c>
    </row>
    <row r="29" spans="1:9">
      <c r="A29" s="53">
        <v>46138</v>
      </c>
      <c r="B29" s="80">
        <v>1110.8230000000001</v>
      </c>
      <c r="C29" s="55">
        <v>17460874</v>
      </c>
      <c r="D29" s="53">
        <v>46138</v>
      </c>
      <c r="E29" s="80">
        <v>4243.8159999999998</v>
      </c>
      <c r="F29" s="55">
        <v>45705898</v>
      </c>
      <c r="G29" s="53">
        <v>46138</v>
      </c>
      <c r="H29" s="80">
        <v>28.486000000000001</v>
      </c>
      <c r="I29" s="55">
        <v>99701</v>
      </c>
    </row>
    <row r="30" spans="1:9">
      <c r="A30" s="101">
        <v>46139</v>
      </c>
      <c r="B30" s="102">
        <v>1076.328</v>
      </c>
      <c r="C30" s="103">
        <v>16918011</v>
      </c>
      <c r="D30" s="101">
        <v>46139</v>
      </c>
      <c r="E30" s="102">
        <v>9139.7219999999998</v>
      </c>
      <c r="F30" s="103">
        <v>98434848</v>
      </c>
      <c r="G30" s="101">
        <v>46139</v>
      </c>
      <c r="H30" s="102">
        <v>251.80500000000001</v>
      </c>
      <c r="I30" s="103">
        <v>881322</v>
      </c>
    </row>
    <row r="31" spans="1:9">
      <c r="A31" s="53">
        <v>46140</v>
      </c>
      <c r="B31" s="80">
        <v>865.66800000000001</v>
      </c>
      <c r="C31" s="55">
        <v>13606885</v>
      </c>
      <c r="D31" s="53">
        <v>46140</v>
      </c>
      <c r="E31" s="80">
        <v>9531.5429999999997</v>
      </c>
      <c r="F31" s="55">
        <v>102654742</v>
      </c>
      <c r="G31" s="53">
        <v>46140</v>
      </c>
      <c r="H31" s="80">
        <v>302.87799999999999</v>
      </c>
      <c r="I31" s="55">
        <v>1060075</v>
      </c>
    </row>
    <row r="32" spans="1:9">
      <c r="A32" s="101">
        <v>46141</v>
      </c>
      <c r="B32" s="102">
        <v>1399.116</v>
      </c>
      <c r="C32" s="103">
        <v>21966354</v>
      </c>
      <c r="D32" s="101">
        <v>46141</v>
      </c>
      <c r="E32" s="102">
        <v>8802.1370000000006</v>
      </c>
      <c r="F32" s="103">
        <v>94799029</v>
      </c>
      <c r="G32" s="101">
        <v>46141</v>
      </c>
      <c r="H32" s="102">
        <v>231.43299999999999</v>
      </c>
      <c r="I32" s="103">
        <v>810019</v>
      </c>
    </row>
    <row r="33" spans="1:9">
      <c r="A33" s="53">
        <v>46142</v>
      </c>
      <c r="B33" s="80">
        <v>1177.921</v>
      </c>
      <c r="C33" s="55">
        <v>18514494</v>
      </c>
      <c r="D33" s="53">
        <v>46142</v>
      </c>
      <c r="E33" s="80">
        <v>8686.4599999999991</v>
      </c>
      <c r="F33" s="55">
        <v>93521151</v>
      </c>
      <c r="G33" s="53">
        <v>46142</v>
      </c>
      <c r="H33" s="80">
        <v>215.92500000000001</v>
      </c>
      <c r="I33" s="55">
        <v>755742</v>
      </c>
    </row>
    <row r="34" spans="1:9">
      <c r="A34" s="61" t="s">
        <v>122</v>
      </c>
      <c r="B34" s="88">
        <f>SUM(B4:B33)</f>
        <v>37539.967000000011</v>
      </c>
      <c r="C34" s="98">
        <f>SUM(C4:C33)</f>
        <v>589610081</v>
      </c>
      <c r="D34" s="36"/>
      <c r="E34" s="84">
        <f>SUM(E4:E33)</f>
        <v>213612.18799999997</v>
      </c>
      <c r="F34" s="99">
        <f>SUM(F4:F33)</f>
        <v>2299955266</v>
      </c>
      <c r="G34" s="36"/>
      <c r="H34" s="92">
        <f>SUM(H4:H33)</f>
        <v>6023.0729999999994</v>
      </c>
      <c r="I34" s="100">
        <f>SUM(I4:I33)</f>
        <v>21080833</v>
      </c>
    </row>
    <row r="35" spans="1:9">
      <c r="A35" s="104" t="s">
        <v>123</v>
      </c>
      <c r="B35" s="105">
        <f>+B34+E34</f>
        <v>251152.15499999997</v>
      </c>
      <c r="C35" s="106">
        <f>+C34+F34</f>
        <v>2889565347</v>
      </c>
      <c r="D35" s="104" t="s">
        <v>124</v>
      </c>
      <c r="E35" s="105">
        <f>+H34</f>
        <v>6023.0729999999994</v>
      </c>
      <c r="F35" s="106">
        <f>+I34</f>
        <v>21080833</v>
      </c>
      <c r="G35" s="104" t="s">
        <v>125</v>
      </c>
      <c r="H35" s="105">
        <f>+B35+E35</f>
        <v>257175.22799999997</v>
      </c>
      <c r="I35" s="106">
        <f>+C35+F35</f>
        <v>2910646180</v>
      </c>
    </row>
    <row r="36" spans="1:9">
      <c r="D36" s="110"/>
    </row>
    <row r="37" spans="1:9">
      <c r="D37" s="109"/>
    </row>
    <row r="38" spans="1:9">
      <c r="D38" s="110"/>
    </row>
  </sheetData>
  <mergeCells count="2">
    <mergeCell ref="A1:I1"/>
    <mergeCell ref="A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A51C0-65B2-42CA-877B-97E735330198}">
  <sheetPr>
    <tabColor theme="8" tint="-0.249977111117893"/>
  </sheetPr>
  <dimension ref="A1:R34"/>
  <sheetViews>
    <sheetView topLeftCell="A7" workbookViewId="0">
      <selection activeCell="L33" sqref="L33"/>
    </sheetView>
  </sheetViews>
  <sheetFormatPr baseColWidth="10" defaultRowHeight="15"/>
  <cols>
    <col min="1" max="1" width="11.28515625" style="73" customWidth="1"/>
    <col min="2" max="2" width="12.7109375" bestFit="1" customWidth="1"/>
    <col min="3" max="3" width="12.140625" style="73" customWidth="1"/>
    <col min="4" max="4" width="11.140625" customWidth="1"/>
    <col min="5" max="5" width="8.85546875" customWidth="1"/>
    <col min="6" max="6" width="7.7109375" customWidth="1"/>
    <col min="7" max="7" width="11.42578125" style="73"/>
    <col min="8" max="8" width="11.140625" bestFit="1" customWidth="1"/>
    <col min="9" max="9" width="12.28515625" style="73" customWidth="1"/>
    <col min="10" max="10" width="11.140625" bestFit="1" customWidth="1"/>
    <col min="11" max="11" width="8.85546875" customWidth="1"/>
    <col min="12" max="12" width="7.5703125" customWidth="1"/>
    <col min="13" max="13" width="11.85546875" style="73" customWidth="1"/>
    <col min="14" max="14" width="10.5703125" customWidth="1"/>
    <col min="15" max="15" width="11.85546875" style="73" customWidth="1"/>
    <col min="16" max="16" width="9.7109375" customWidth="1"/>
    <col min="17" max="17" width="6.85546875" customWidth="1"/>
    <col min="18" max="18" width="8.42578125" bestFit="1" customWidth="1"/>
  </cols>
  <sheetData>
    <row r="1" spans="1:18">
      <c r="A1" s="127" t="s">
        <v>112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</row>
    <row r="2" spans="1:18">
      <c r="A2" s="74" t="s">
        <v>107</v>
      </c>
      <c r="B2" s="75" t="s">
        <v>1</v>
      </c>
      <c r="C2" s="74" t="s">
        <v>107</v>
      </c>
      <c r="D2" s="75" t="s">
        <v>1</v>
      </c>
      <c r="E2" s="75" t="s">
        <v>108</v>
      </c>
      <c r="F2" s="75" t="s">
        <v>109</v>
      </c>
      <c r="G2" s="76" t="s">
        <v>106</v>
      </c>
      <c r="H2" s="77" t="s">
        <v>0</v>
      </c>
      <c r="I2" s="76" t="s">
        <v>107</v>
      </c>
      <c r="J2" s="77" t="s">
        <v>0</v>
      </c>
      <c r="K2" s="76" t="s">
        <v>108</v>
      </c>
      <c r="L2" s="77" t="s">
        <v>110</v>
      </c>
      <c r="M2" s="78" t="s">
        <v>107</v>
      </c>
      <c r="N2" s="79" t="s">
        <v>47</v>
      </c>
      <c r="O2" s="78" t="s">
        <v>107</v>
      </c>
      <c r="P2" s="79" t="s">
        <v>47</v>
      </c>
      <c r="Q2" s="78" t="s">
        <v>111</v>
      </c>
      <c r="R2" s="79" t="s">
        <v>110</v>
      </c>
    </row>
    <row r="3" spans="1:18">
      <c r="A3" s="53">
        <v>45748</v>
      </c>
      <c r="B3" s="102">
        <v>940.92899999999997</v>
      </c>
      <c r="C3" s="101">
        <v>46113</v>
      </c>
      <c r="D3" s="102">
        <v>1702.8889999999999</v>
      </c>
      <c r="E3" s="107">
        <f t="shared" ref="E3:E32" si="0">D3-B3</f>
        <v>761.95999999999992</v>
      </c>
      <c r="F3" s="108">
        <f t="shared" ref="F3:F32" si="1">IF(B3=0,"",(D3-B3)/B3)</f>
        <v>0.80979542558471462</v>
      </c>
      <c r="G3" s="101">
        <v>45748</v>
      </c>
      <c r="H3" s="102">
        <v>7405.5240000000003</v>
      </c>
      <c r="I3" s="101">
        <v>46113</v>
      </c>
      <c r="J3" s="102">
        <v>6638.07</v>
      </c>
      <c r="K3" s="107">
        <f t="shared" ref="K3:K32" si="2">J3-H3</f>
        <v>-767.45400000000063</v>
      </c>
      <c r="L3" s="108">
        <f t="shared" ref="L3:L32" si="3">IF(H3=0,"",(J3-H3)/H3)</f>
        <v>-0.10363263963495366</v>
      </c>
      <c r="M3" s="101">
        <v>45748</v>
      </c>
      <c r="N3" s="102"/>
      <c r="O3" s="101">
        <v>46113</v>
      </c>
      <c r="P3" s="102">
        <v>237.63399999999999</v>
      </c>
      <c r="Q3" s="107">
        <f t="shared" ref="Q3:Q32" si="4">P3-N3</f>
        <v>237.63399999999999</v>
      </c>
      <c r="R3" s="108" t="str">
        <f t="shared" ref="R3:R32" si="5">IF(N3=0,"",(P3-N3)/N3)</f>
        <v/>
      </c>
    </row>
    <row r="4" spans="1:18">
      <c r="A4" s="53">
        <v>45749</v>
      </c>
      <c r="B4" s="80">
        <v>1027.0730000000001</v>
      </c>
      <c r="C4" s="53">
        <v>46114</v>
      </c>
      <c r="D4" s="80">
        <v>1595.98</v>
      </c>
      <c r="E4" s="81">
        <f t="shared" si="0"/>
        <v>568.90699999999993</v>
      </c>
      <c r="F4" s="82">
        <f t="shared" si="1"/>
        <v>0.55391096835375853</v>
      </c>
      <c r="G4" s="53">
        <v>45749</v>
      </c>
      <c r="H4" s="80">
        <v>6479.3010000000004</v>
      </c>
      <c r="I4" s="53">
        <v>46114</v>
      </c>
      <c r="J4" s="80">
        <v>2305.1869999999999</v>
      </c>
      <c r="K4" s="81">
        <f t="shared" si="2"/>
        <v>-4174.1140000000005</v>
      </c>
      <c r="L4" s="82">
        <f t="shared" si="3"/>
        <v>-0.64422288762321744</v>
      </c>
      <c r="M4" s="53">
        <v>45749</v>
      </c>
      <c r="N4" s="80"/>
      <c r="O4" s="53">
        <v>46114</v>
      </c>
      <c r="P4" s="80">
        <v>94.39</v>
      </c>
      <c r="Q4" s="81">
        <f t="shared" si="4"/>
        <v>94.39</v>
      </c>
      <c r="R4" s="82" t="str">
        <f t="shared" si="5"/>
        <v/>
      </c>
    </row>
    <row r="5" spans="1:18">
      <c r="A5" s="53">
        <v>45750</v>
      </c>
      <c r="B5" s="102">
        <v>1187.3620000000001</v>
      </c>
      <c r="C5" s="101">
        <v>46115</v>
      </c>
      <c r="D5" s="102">
        <v>1330.9369999999999</v>
      </c>
      <c r="E5" s="107">
        <f t="shared" si="0"/>
        <v>143.57499999999982</v>
      </c>
      <c r="F5" s="108">
        <f t="shared" si="1"/>
        <v>0.12091931525516213</v>
      </c>
      <c r="G5" s="101">
        <v>45750</v>
      </c>
      <c r="H5" s="102">
        <v>7797.5460000000003</v>
      </c>
      <c r="I5" s="101">
        <v>46115</v>
      </c>
      <c r="J5" s="102">
        <v>1367.73</v>
      </c>
      <c r="K5" s="107">
        <f t="shared" si="2"/>
        <v>-6429.8160000000007</v>
      </c>
      <c r="L5" s="108">
        <f t="shared" si="3"/>
        <v>-0.82459481483020436</v>
      </c>
      <c r="M5" s="101">
        <v>45750</v>
      </c>
      <c r="N5" s="102"/>
      <c r="O5" s="101">
        <v>46115</v>
      </c>
      <c r="P5" s="102">
        <v>52.817</v>
      </c>
      <c r="Q5" s="107">
        <f t="shared" si="4"/>
        <v>52.817</v>
      </c>
      <c r="R5" s="108" t="str">
        <f t="shared" si="5"/>
        <v/>
      </c>
    </row>
    <row r="6" spans="1:18">
      <c r="A6" s="53">
        <v>45751</v>
      </c>
      <c r="B6" s="80">
        <v>1129.665</v>
      </c>
      <c r="C6" s="53">
        <v>46116</v>
      </c>
      <c r="D6" s="80">
        <v>2305.4920000000002</v>
      </c>
      <c r="E6" s="81">
        <f t="shared" si="0"/>
        <v>1175.8270000000002</v>
      </c>
      <c r="F6" s="82">
        <f t="shared" si="1"/>
        <v>1.0408634418168221</v>
      </c>
      <c r="G6" s="53">
        <v>45751</v>
      </c>
      <c r="H6" s="80">
        <v>6546.1490000000003</v>
      </c>
      <c r="I6" s="53">
        <v>46116</v>
      </c>
      <c r="J6" s="80">
        <v>3067.9839999999999</v>
      </c>
      <c r="K6" s="81">
        <f t="shared" si="2"/>
        <v>-3478.1650000000004</v>
      </c>
      <c r="L6" s="82">
        <f t="shared" si="3"/>
        <v>-0.53132994681300416</v>
      </c>
      <c r="M6" s="53">
        <v>45751</v>
      </c>
      <c r="N6" s="80"/>
      <c r="O6" s="53">
        <v>46116</v>
      </c>
      <c r="P6" s="80">
        <v>42.167000000000002</v>
      </c>
      <c r="Q6" s="81">
        <f t="shared" si="4"/>
        <v>42.167000000000002</v>
      </c>
      <c r="R6" s="82" t="str">
        <f t="shared" si="5"/>
        <v/>
      </c>
    </row>
    <row r="7" spans="1:18">
      <c r="A7" s="53">
        <v>45752</v>
      </c>
      <c r="B7" s="102">
        <v>1446.9549999999999</v>
      </c>
      <c r="C7" s="101">
        <v>46117</v>
      </c>
      <c r="D7" s="102">
        <v>1690.3340000000001</v>
      </c>
      <c r="E7" s="107">
        <f t="shared" si="0"/>
        <v>243.37900000000013</v>
      </c>
      <c r="F7" s="108">
        <f t="shared" si="1"/>
        <v>0.16820080790349398</v>
      </c>
      <c r="G7" s="101">
        <v>45752</v>
      </c>
      <c r="H7" s="102">
        <v>6406.223</v>
      </c>
      <c r="I7" s="101">
        <v>46117</v>
      </c>
      <c r="J7" s="102">
        <v>1975.328</v>
      </c>
      <c r="K7" s="107">
        <f t="shared" si="2"/>
        <v>-4430.8950000000004</v>
      </c>
      <c r="L7" s="108">
        <f t="shared" si="3"/>
        <v>-0.69165481751103586</v>
      </c>
      <c r="M7" s="101">
        <v>45752</v>
      </c>
      <c r="N7" s="102"/>
      <c r="O7" s="101">
        <v>46117</v>
      </c>
      <c r="P7" s="102">
        <v>42.85</v>
      </c>
      <c r="Q7" s="107">
        <f t="shared" si="4"/>
        <v>42.85</v>
      </c>
      <c r="R7" s="108" t="str">
        <f t="shared" si="5"/>
        <v/>
      </c>
    </row>
    <row r="8" spans="1:18">
      <c r="A8" s="53">
        <v>45753</v>
      </c>
      <c r="B8" s="80">
        <v>918.95799999999997</v>
      </c>
      <c r="C8" s="53">
        <v>46118</v>
      </c>
      <c r="D8" s="80">
        <v>1470.4960000000001</v>
      </c>
      <c r="E8" s="81">
        <f t="shared" si="0"/>
        <v>551.53800000000012</v>
      </c>
      <c r="F8" s="82">
        <f t="shared" si="1"/>
        <v>0.6001775924470979</v>
      </c>
      <c r="G8" s="53">
        <v>45753</v>
      </c>
      <c r="H8" s="80">
        <v>2762.6619999999998</v>
      </c>
      <c r="I8" s="53">
        <v>46118</v>
      </c>
      <c r="J8" s="80">
        <v>8399.1530000000002</v>
      </c>
      <c r="K8" s="81">
        <f t="shared" si="2"/>
        <v>5636.491</v>
      </c>
      <c r="L8" s="82">
        <f t="shared" si="3"/>
        <v>2.0402390882417034</v>
      </c>
      <c r="M8" s="53">
        <v>45753</v>
      </c>
      <c r="N8" s="80"/>
      <c r="O8" s="53">
        <v>46118</v>
      </c>
      <c r="P8" s="80">
        <v>285.84800000000001</v>
      </c>
      <c r="Q8" s="81">
        <f t="shared" si="4"/>
        <v>285.84800000000001</v>
      </c>
      <c r="R8" s="82" t="str">
        <f t="shared" si="5"/>
        <v/>
      </c>
    </row>
    <row r="9" spans="1:18">
      <c r="A9" s="53">
        <v>45754</v>
      </c>
      <c r="B9" s="102">
        <v>964.495</v>
      </c>
      <c r="C9" s="101">
        <v>46119</v>
      </c>
      <c r="D9" s="102">
        <v>907.67600000000004</v>
      </c>
      <c r="E9" s="107">
        <f t="shared" si="0"/>
        <v>-56.81899999999996</v>
      </c>
      <c r="F9" s="108">
        <f t="shared" si="1"/>
        <v>-5.8910621620640813E-2</v>
      </c>
      <c r="G9" s="101">
        <v>45754</v>
      </c>
      <c r="H9" s="102">
        <v>7170.8119999999999</v>
      </c>
      <c r="I9" s="101">
        <v>46119</v>
      </c>
      <c r="J9" s="102">
        <v>10435.493</v>
      </c>
      <c r="K9" s="107">
        <f t="shared" si="2"/>
        <v>3264.6810000000005</v>
      </c>
      <c r="L9" s="108">
        <f t="shared" si="3"/>
        <v>0.45527354503227813</v>
      </c>
      <c r="M9" s="101">
        <v>45754</v>
      </c>
      <c r="N9" s="102"/>
      <c r="O9" s="101">
        <v>46119</v>
      </c>
      <c r="P9" s="102">
        <v>238.31700000000001</v>
      </c>
      <c r="Q9" s="107">
        <f t="shared" si="4"/>
        <v>238.31700000000001</v>
      </c>
      <c r="R9" s="108" t="str">
        <f t="shared" si="5"/>
        <v/>
      </c>
    </row>
    <row r="10" spans="1:18">
      <c r="A10" s="53">
        <v>45755</v>
      </c>
      <c r="B10" s="80">
        <v>1111.73</v>
      </c>
      <c r="C10" s="53">
        <v>46120</v>
      </c>
      <c r="D10" s="80">
        <v>1428.42</v>
      </c>
      <c r="E10" s="81">
        <f t="shared" si="0"/>
        <v>316.69000000000005</v>
      </c>
      <c r="F10" s="82">
        <f t="shared" si="1"/>
        <v>0.28486233168125358</v>
      </c>
      <c r="G10" s="53">
        <v>45755</v>
      </c>
      <c r="H10" s="80">
        <v>6451.8339999999998</v>
      </c>
      <c r="I10" s="53">
        <v>46120</v>
      </c>
      <c r="J10" s="80">
        <v>8842.2099999999991</v>
      </c>
      <c r="K10" s="81">
        <f t="shared" si="2"/>
        <v>2390.3759999999993</v>
      </c>
      <c r="L10" s="82">
        <f t="shared" si="3"/>
        <v>0.37049558311636649</v>
      </c>
      <c r="M10" s="53">
        <v>45755</v>
      </c>
      <c r="N10" s="80"/>
      <c r="O10" s="53">
        <v>46120</v>
      </c>
      <c r="P10" s="80">
        <v>299.05</v>
      </c>
      <c r="Q10" s="81">
        <f t="shared" si="4"/>
        <v>299.05</v>
      </c>
      <c r="R10" s="82" t="str">
        <f t="shared" si="5"/>
        <v/>
      </c>
    </row>
    <row r="11" spans="1:18">
      <c r="A11" s="53">
        <v>45756</v>
      </c>
      <c r="B11" s="102">
        <v>1012.963</v>
      </c>
      <c r="C11" s="101">
        <v>46121</v>
      </c>
      <c r="D11" s="102">
        <v>1109.212</v>
      </c>
      <c r="E11" s="107">
        <f t="shared" si="0"/>
        <v>96.249000000000024</v>
      </c>
      <c r="F11" s="108">
        <f t="shared" si="1"/>
        <v>9.5017290858600001E-2</v>
      </c>
      <c r="G11" s="101">
        <v>45756</v>
      </c>
      <c r="H11" s="102">
        <v>7749.1710000000003</v>
      </c>
      <c r="I11" s="101">
        <v>46121</v>
      </c>
      <c r="J11" s="102">
        <v>8947.848</v>
      </c>
      <c r="K11" s="107">
        <f t="shared" si="2"/>
        <v>1198.6769999999997</v>
      </c>
      <c r="L11" s="108">
        <f t="shared" si="3"/>
        <v>0.15468454625662534</v>
      </c>
      <c r="M11" s="101">
        <v>45756</v>
      </c>
      <c r="N11" s="102"/>
      <c r="O11" s="101">
        <v>46121</v>
      </c>
      <c r="P11" s="102">
        <v>379.572</v>
      </c>
      <c r="Q11" s="107">
        <f t="shared" si="4"/>
        <v>379.572</v>
      </c>
      <c r="R11" s="108" t="str">
        <f t="shared" si="5"/>
        <v/>
      </c>
    </row>
    <row r="12" spans="1:18">
      <c r="A12" s="53">
        <v>45757</v>
      </c>
      <c r="B12" s="80">
        <v>1026.3989999999999</v>
      </c>
      <c r="C12" s="53">
        <v>46122</v>
      </c>
      <c r="D12" s="80">
        <v>1242.174</v>
      </c>
      <c r="E12" s="81">
        <f t="shared" si="0"/>
        <v>215.77500000000009</v>
      </c>
      <c r="F12" s="82">
        <f t="shared" si="1"/>
        <v>0.21022526327480845</v>
      </c>
      <c r="G12" s="53">
        <v>45757</v>
      </c>
      <c r="H12" s="80">
        <v>7756.3810000000003</v>
      </c>
      <c r="I12" s="53">
        <v>46122</v>
      </c>
      <c r="J12" s="80">
        <v>8945.8410000000003</v>
      </c>
      <c r="K12" s="81">
        <f t="shared" si="2"/>
        <v>1189.46</v>
      </c>
      <c r="L12" s="82">
        <f t="shared" si="3"/>
        <v>0.15335244619881361</v>
      </c>
      <c r="M12" s="53">
        <v>45757</v>
      </c>
      <c r="N12" s="80"/>
      <c r="O12" s="53">
        <v>46122</v>
      </c>
      <c r="P12" s="80">
        <v>160.25899999999999</v>
      </c>
      <c r="Q12" s="81">
        <f t="shared" si="4"/>
        <v>160.25899999999999</v>
      </c>
      <c r="R12" s="82" t="str">
        <f t="shared" si="5"/>
        <v/>
      </c>
    </row>
    <row r="13" spans="1:18">
      <c r="A13" s="53">
        <v>45758</v>
      </c>
      <c r="B13" s="102">
        <v>1255.6959999999999</v>
      </c>
      <c r="C13" s="101">
        <v>46123</v>
      </c>
      <c r="D13" s="102">
        <v>1072.981</v>
      </c>
      <c r="E13" s="107">
        <f t="shared" si="0"/>
        <v>-182.71499999999992</v>
      </c>
      <c r="F13" s="108">
        <f t="shared" si="1"/>
        <v>-0.14550894484015234</v>
      </c>
      <c r="G13" s="101">
        <v>45758</v>
      </c>
      <c r="H13" s="102">
        <v>7339.77</v>
      </c>
      <c r="I13" s="101">
        <v>46123</v>
      </c>
      <c r="J13" s="102">
        <v>7954.6490000000003</v>
      </c>
      <c r="K13" s="107">
        <f t="shared" si="2"/>
        <v>614.87899999999991</v>
      </c>
      <c r="L13" s="108">
        <f t="shared" si="3"/>
        <v>8.3773605984928667E-2</v>
      </c>
      <c r="M13" s="101">
        <v>45758</v>
      </c>
      <c r="N13" s="102"/>
      <c r="O13" s="101">
        <v>46123</v>
      </c>
      <c r="P13" s="102">
        <v>223.285</v>
      </c>
      <c r="Q13" s="107">
        <f t="shared" si="4"/>
        <v>223.285</v>
      </c>
      <c r="R13" s="108" t="str">
        <f t="shared" si="5"/>
        <v/>
      </c>
    </row>
    <row r="14" spans="1:18">
      <c r="A14" s="53">
        <v>45759</v>
      </c>
      <c r="B14" s="80">
        <v>1489.6679999999999</v>
      </c>
      <c r="C14" s="53">
        <v>46124</v>
      </c>
      <c r="D14" s="80">
        <v>913.68899999999996</v>
      </c>
      <c r="E14" s="81">
        <f t="shared" si="0"/>
        <v>-575.97899999999993</v>
      </c>
      <c r="F14" s="82">
        <f t="shared" si="1"/>
        <v>-0.38664923996487804</v>
      </c>
      <c r="G14" s="53">
        <v>45759</v>
      </c>
      <c r="H14" s="80">
        <v>6164.8959999999997</v>
      </c>
      <c r="I14" s="53">
        <v>46124</v>
      </c>
      <c r="J14" s="80">
        <v>3507.0140000000001</v>
      </c>
      <c r="K14" s="81">
        <f t="shared" si="2"/>
        <v>-2657.8819999999996</v>
      </c>
      <c r="L14" s="82">
        <f t="shared" si="3"/>
        <v>-0.43113168494651</v>
      </c>
      <c r="M14" s="53">
        <v>45759</v>
      </c>
      <c r="N14" s="80"/>
      <c r="O14" s="53">
        <v>46124</v>
      </c>
      <c r="P14" s="80">
        <v>44.738</v>
      </c>
      <c r="Q14" s="81">
        <f t="shared" si="4"/>
        <v>44.738</v>
      </c>
      <c r="R14" s="82" t="str">
        <f t="shared" si="5"/>
        <v/>
      </c>
    </row>
    <row r="15" spans="1:18">
      <c r="A15" s="53">
        <v>45760</v>
      </c>
      <c r="B15" s="102">
        <v>1140.867</v>
      </c>
      <c r="C15" s="101">
        <v>46125</v>
      </c>
      <c r="D15" s="102">
        <v>1455.991</v>
      </c>
      <c r="E15" s="107">
        <f t="shared" si="0"/>
        <v>315.12400000000002</v>
      </c>
      <c r="F15" s="108">
        <f t="shared" si="1"/>
        <v>0.27621449301277012</v>
      </c>
      <c r="G15" s="101">
        <v>45760</v>
      </c>
      <c r="H15" s="102">
        <v>3457.3789999999999</v>
      </c>
      <c r="I15" s="101">
        <v>46125</v>
      </c>
      <c r="J15" s="102">
        <v>7413.79</v>
      </c>
      <c r="K15" s="107">
        <f t="shared" si="2"/>
        <v>3956.4110000000001</v>
      </c>
      <c r="L15" s="108">
        <f t="shared" si="3"/>
        <v>1.1443382400367446</v>
      </c>
      <c r="M15" s="101">
        <v>45760</v>
      </c>
      <c r="N15" s="102"/>
      <c r="O15" s="101">
        <v>46125</v>
      </c>
      <c r="P15" s="102">
        <v>214.107</v>
      </c>
      <c r="Q15" s="107">
        <f t="shared" si="4"/>
        <v>214.107</v>
      </c>
      <c r="R15" s="108" t="str">
        <f t="shared" si="5"/>
        <v/>
      </c>
    </row>
    <row r="16" spans="1:18">
      <c r="A16" s="53">
        <v>45761</v>
      </c>
      <c r="B16" s="80">
        <v>1752.4079999999999</v>
      </c>
      <c r="C16" s="53">
        <v>46126</v>
      </c>
      <c r="D16" s="80">
        <v>964.68700000000001</v>
      </c>
      <c r="E16" s="81">
        <f t="shared" si="0"/>
        <v>-787.72099999999989</v>
      </c>
      <c r="F16" s="82">
        <f t="shared" si="1"/>
        <v>-0.44950776303235318</v>
      </c>
      <c r="G16" s="53">
        <v>45761</v>
      </c>
      <c r="H16" s="80">
        <v>6830.567</v>
      </c>
      <c r="I16" s="53">
        <v>46126</v>
      </c>
      <c r="J16" s="80">
        <v>9143.4140000000007</v>
      </c>
      <c r="K16" s="81">
        <f t="shared" si="2"/>
        <v>2312.8470000000007</v>
      </c>
      <c r="L16" s="82">
        <f t="shared" si="3"/>
        <v>0.33860249083275235</v>
      </c>
      <c r="M16" s="53">
        <v>45761</v>
      </c>
      <c r="N16" s="80"/>
      <c r="O16" s="53">
        <v>46126</v>
      </c>
      <c r="P16" s="80">
        <v>404.37200000000001</v>
      </c>
      <c r="Q16" s="81">
        <f t="shared" si="4"/>
        <v>404.37200000000001</v>
      </c>
      <c r="R16" s="82" t="str">
        <f t="shared" si="5"/>
        <v/>
      </c>
    </row>
    <row r="17" spans="1:18">
      <c r="A17" s="53">
        <v>45762</v>
      </c>
      <c r="B17" s="102">
        <v>1620.319</v>
      </c>
      <c r="C17" s="101">
        <v>46127</v>
      </c>
      <c r="D17" s="102">
        <v>980.90899999999999</v>
      </c>
      <c r="E17" s="107">
        <f t="shared" si="0"/>
        <v>-639.41</v>
      </c>
      <c r="F17" s="108">
        <f t="shared" si="1"/>
        <v>-0.39461982486164759</v>
      </c>
      <c r="G17" s="101">
        <v>45762</v>
      </c>
      <c r="H17" s="102">
        <v>6215.625</v>
      </c>
      <c r="I17" s="101">
        <v>46127</v>
      </c>
      <c r="J17" s="102">
        <v>8059.2290000000003</v>
      </c>
      <c r="K17" s="107">
        <f t="shared" si="2"/>
        <v>1843.6040000000003</v>
      </c>
      <c r="L17" s="108">
        <f t="shared" si="3"/>
        <v>0.29660798391151338</v>
      </c>
      <c r="M17" s="101">
        <v>45762</v>
      </c>
      <c r="N17" s="102"/>
      <c r="O17" s="101">
        <v>46127</v>
      </c>
      <c r="P17" s="102">
        <v>196.31800000000001</v>
      </c>
      <c r="Q17" s="107">
        <f t="shared" si="4"/>
        <v>196.31800000000001</v>
      </c>
      <c r="R17" s="108" t="str">
        <f t="shared" si="5"/>
        <v/>
      </c>
    </row>
    <row r="18" spans="1:18">
      <c r="A18" s="53">
        <v>45763</v>
      </c>
      <c r="B18" s="80">
        <v>1844.925</v>
      </c>
      <c r="C18" s="53">
        <v>46128</v>
      </c>
      <c r="D18" s="80">
        <v>1286.1079999999999</v>
      </c>
      <c r="E18" s="81">
        <f t="shared" si="0"/>
        <v>-558.81700000000001</v>
      </c>
      <c r="F18" s="82">
        <f t="shared" si="1"/>
        <v>-0.30289415558898058</v>
      </c>
      <c r="G18" s="53">
        <v>45763</v>
      </c>
      <c r="H18" s="80">
        <v>5820.69</v>
      </c>
      <c r="I18" s="53">
        <v>46128</v>
      </c>
      <c r="J18" s="80">
        <v>8418.1489999999994</v>
      </c>
      <c r="K18" s="81">
        <f t="shared" si="2"/>
        <v>2597.4589999999998</v>
      </c>
      <c r="L18" s="82">
        <f t="shared" si="3"/>
        <v>0.44624589181007751</v>
      </c>
      <c r="M18" s="53">
        <v>45763</v>
      </c>
      <c r="N18" s="80"/>
      <c r="O18" s="53">
        <v>46128</v>
      </c>
      <c r="P18" s="80">
        <v>160.44999999999999</v>
      </c>
      <c r="Q18" s="81">
        <f t="shared" si="4"/>
        <v>160.44999999999999</v>
      </c>
      <c r="R18" s="82" t="str">
        <f t="shared" si="5"/>
        <v/>
      </c>
    </row>
    <row r="19" spans="1:18">
      <c r="A19" s="53">
        <v>45764</v>
      </c>
      <c r="B19" s="102">
        <v>1588.807</v>
      </c>
      <c r="C19" s="101">
        <v>46129</v>
      </c>
      <c r="D19" s="102">
        <v>1088.3630000000001</v>
      </c>
      <c r="E19" s="107">
        <f t="shared" si="0"/>
        <v>-500.44399999999996</v>
      </c>
      <c r="F19" s="108">
        <f t="shared" si="1"/>
        <v>-0.31498098888033599</v>
      </c>
      <c r="G19" s="101">
        <v>45764</v>
      </c>
      <c r="H19" s="102">
        <v>1722.77</v>
      </c>
      <c r="I19" s="101">
        <v>46129</v>
      </c>
      <c r="J19" s="102">
        <v>7992.125</v>
      </c>
      <c r="K19" s="107">
        <f t="shared" si="2"/>
        <v>6269.3549999999996</v>
      </c>
      <c r="L19" s="108">
        <f t="shared" si="3"/>
        <v>3.6391131723909749</v>
      </c>
      <c r="M19" s="101">
        <v>45764</v>
      </c>
      <c r="N19" s="102"/>
      <c r="O19" s="101">
        <v>46129</v>
      </c>
      <c r="P19" s="102">
        <v>210.95</v>
      </c>
      <c r="Q19" s="107">
        <f t="shared" si="4"/>
        <v>210.95</v>
      </c>
      <c r="R19" s="108" t="str">
        <f t="shared" si="5"/>
        <v/>
      </c>
    </row>
    <row r="20" spans="1:18">
      <c r="A20" s="53">
        <v>45765</v>
      </c>
      <c r="B20" s="80">
        <v>1312.77</v>
      </c>
      <c r="C20" s="53">
        <v>46130</v>
      </c>
      <c r="D20" s="80">
        <v>1262.7739999999999</v>
      </c>
      <c r="E20" s="81">
        <f t="shared" si="0"/>
        <v>-49.996000000000095</v>
      </c>
      <c r="F20" s="82">
        <f t="shared" si="1"/>
        <v>-3.8084355980103214E-2</v>
      </c>
      <c r="G20" s="53">
        <v>45765</v>
      </c>
      <c r="H20" s="80">
        <v>1695.1690000000001</v>
      </c>
      <c r="I20" s="53">
        <v>46130</v>
      </c>
      <c r="J20" s="80">
        <v>6911.0590000000002</v>
      </c>
      <c r="K20" s="81">
        <f t="shared" si="2"/>
        <v>5215.8900000000003</v>
      </c>
      <c r="L20" s="82">
        <f t="shared" si="3"/>
        <v>3.0769144551369214</v>
      </c>
      <c r="M20" s="53">
        <v>45765</v>
      </c>
      <c r="N20" s="80"/>
      <c r="O20" s="53">
        <v>46130</v>
      </c>
      <c r="P20" s="80">
        <v>427.15300000000002</v>
      </c>
      <c r="Q20" s="81">
        <f t="shared" si="4"/>
        <v>427.15300000000002</v>
      </c>
      <c r="R20" s="82" t="str">
        <f t="shared" si="5"/>
        <v/>
      </c>
    </row>
    <row r="21" spans="1:18">
      <c r="A21" s="53">
        <v>45766</v>
      </c>
      <c r="B21" s="102">
        <v>1970.9480000000001</v>
      </c>
      <c r="C21" s="101">
        <v>46131</v>
      </c>
      <c r="D21" s="102">
        <v>813.56100000000004</v>
      </c>
      <c r="E21" s="107">
        <f t="shared" si="0"/>
        <v>-1157.3870000000002</v>
      </c>
      <c r="F21" s="108">
        <f t="shared" si="1"/>
        <v>-0.5872235086871902</v>
      </c>
      <c r="G21" s="101">
        <v>45766</v>
      </c>
      <c r="H21" s="102">
        <v>4465.9449999999997</v>
      </c>
      <c r="I21" s="101">
        <v>46131</v>
      </c>
      <c r="J21" s="102">
        <v>3336.2109999999998</v>
      </c>
      <c r="K21" s="107">
        <f t="shared" si="2"/>
        <v>-1129.7339999999999</v>
      </c>
      <c r="L21" s="108">
        <f t="shared" si="3"/>
        <v>-0.25296639345088218</v>
      </c>
      <c r="M21" s="101">
        <v>45766</v>
      </c>
      <c r="N21" s="102"/>
      <c r="O21" s="101">
        <v>46131</v>
      </c>
      <c r="P21" s="102">
        <v>33.789000000000001</v>
      </c>
      <c r="Q21" s="107">
        <f t="shared" si="4"/>
        <v>33.789000000000001</v>
      </c>
      <c r="R21" s="108" t="str">
        <f t="shared" si="5"/>
        <v/>
      </c>
    </row>
    <row r="22" spans="1:18">
      <c r="A22" s="53">
        <v>45767</v>
      </c>
      <c r="B22" s="80">
        <v>1887.5840000000001</v>
      </c>
      <c r="C22" s="53">
        <v>46132</v>
      </c>
      <c r="D22" s="80">
        <v>1033.221</v>
      </c>
      <c r="E22" s="81">
        <f t="shared" si="0"/>
        <v>-854.36300000000006</v>
      </c>
      <c r="F22" s="82">
        <f t="shared" si="1"/>
        <v>-0.45262250580636415</v>
      </c>
      <c r="G22" s="53">
        <v>45767</v>
      </c>
      <c r="H22" s="80">
        <v>1576.6990000000001</v>
      </c>
      <c r="I22" s="53">
        <v>46132</v>
      </c>
      <c r="J22" s="80">
        <v>7597.152</v>
      </c>
      <c r="K22" s="81">
        <f t="shared" si="2"/>
        <v>6020.4529999999995</v>
      </c>
      <c r="L22" s="82">
        <f t="shared" si="3"/>
        <v>3.8183908279259384</v>
      </c>
      <c r="M22" s="53">
        <v>45767</v>
      </c>
      <c r="N22" s="80"/>
      <c r="O22" s="53">
        <v>46132</v>
      </c>
      <c r="P22" s="80">
        <v>207.88300000000001</v>
      </c>
      <c r="Q22" s="81">
        <f t="shared" si="4"/>
        <v>207.88300000000001</v>
      </c>
      <c r="R22" s="82" t="str">
        <f t="shared" si="5"/>
        <v/>
      </c>
    </row>
    <row r="23" spans="1:18">
      <c r="A23" s="53">
        <v>45768</v>
      </c>
      <c r="B23" s="102">
        <v>1717.3340000000001</v>
      </c>
      <c r="C23" s="101">
        <v>46133</v>
      </c>
      <c r="D23" s="102">
        <v>1204.9880000000001</v>
      </c>
      <c r="E23" s="107">
        <f t="shared" si="0"/>
        <v>-512.346</v>
      </c>
      <c r="F23" s="108">
        <f t="shared" si="1"/>
        <v>-0.29833800530356935</v>
      </c>
      <c r="G23" s="101">
        <v>45768</v>
      </c>
      <c r="H23" s="102">
        <v>7373.4170000000004</v>
      </c>
      <c r="I23" s="101">
        <v>46133</v>
      </c>
      <c r="J23" s="102">
        <v>9524.4240000000009</v>
      </c>
      <c r="K23" s="107">
        <f t="shared" si="2"/>
        <v>2151.0070000000005</v>
      </c>
      <c r="L23" s="108">
        <f t="shared" si="3"/>
        <v>0.29172458305287768</v>
      </c>
      <c r="M23" s="101">
        <v>45768</v>
      </c>
      <c r="N23" s="102"/>
      <c r="O23" s="101">
        <v>46133</v>
      </c>
      <c r="P23" s="102">
        <v>287.93900000000002</v>
      </c>
      <c r="Q23" s="107">
        <f t="shared" si="4"/>
        <v>287.93900000000002</v>
      </c>
      <c r="R23" s="108" t="str">
        <f t="shared" si="5"/>
        <v/>
      </c>
    </row>
    <row r="24" spans="1:18">
      <c r="A24" s="53">
        <v>45769</v>
      </c>
      <c r="B24" s="80">
        <v>910.72900000000004</v>
      </c>
      <c r="C24" s="53">
        <v>46134</v>
      </c>
      <c r="D24" s="80">
        <v>1482.6669999999999</v>
      </c>
      <c r="E24" s="81">
        <f t="shared" si="0"/>
        <v>571.93799999999987</v>
      </c>
      <c r="F24" s="82">
        <f t="shared" si="1"/>
        <v>0.62800020642803711</v>
      </c>
      <c r="G24" s="53">
        <v>45769</v>
      </c>
      <c r="H24" s="80">
        <v>7450.99</v>
      </c>
      <c r="I24" s="53">
        <v>46134</v>
      </c>
      <c r="J24" s="80">
        <v>10541.044</v>
      </c>
      <c r="K24" s="81">
        <f t="shared" si="2"/>
        <v>3090.0540000000001</v>
      </c>
      <c r="L24" s="82">
        <f t="shared" si="3"/>
        <v>0.4147172389172446</v>
      </c>
      <c r="M24" s="53">
        <v>45769</v>
      </c>
      <c r="N24" s="80"/>
      <c r="O24" s="53">
        <v>46134</v>
      </c>
      <c r="P24" s="80">
        <v>263.98599999999999</v>
      </c>
      <c r="Q24" s="81">
        <f t="shared" si="4"/>
        <v>263.98599999999999</v>
      </c>
      <c r="R24" s="82" t="str">
        <f t="shared" si="5"/>
        <v/>
      </c>
    </row>
    <row r="25" spans="1:18">
      <c r="A25" s="53">
        <v>45770</v>
      </c>
      <c r="B25" s="102">
        <v>1075.48</v>
      </c>
      <c r="C25" s="101">
        <v>46135</v>
      </c>
      <c r="D25" s="102">
        <v>940.42499999999995</v>
      </c>
      <c r="E25" s="107">
        <f t="shared" si="0"/>
        <v>-135.05500000000006</v>
      </c>
      <c r="F25" s="108">
        <f t="shared" si="1"/>
        <v>-0.12557648677799685</v>
      </c>
      <c r="G25" s="101">
        <v>45770</v>
      </c>
      <c r="H25" s="102">
        <v>7970.0450000000001</v>
      </c>
      <c r="I25" s="101">
        <v>46135</v>
      </c>
      <c r="J25" s="102">
        <v>7739.43</v>
      </c>
      <c r="K25" s="107">
        <f t="shared" si="2"/>
        <v>-230.61499999999978</v>
      </c>
      <c r="L25" s="108">
        <f t="shared" si="3"/>
        <v>-2.8935219311810634E-2</v>
      </c>
      <c r="M25" s="101">
        <v>45770</v>
      </c>
      <c r="N25" s="102"/>
      <c r="O25" s="101">
        <v>46135</v>
      </c>
      <c r="P25" s="102">
        <v>176.511</v>
      </c>
      <c r="Q25" s="107">
        <f t="shared" si="4"/>
        <v>176.511</v>
      </c>
      <c r="R25" s="108" t="str">
        <f t="shared" si="5"/>
        <v/>
      </c>
    </row>
    <row r="26" spans="1:18">
      <c r="A26" s="53">
        <v>45771</v>
      </c>
      <c r="B26" s="80">
        <v>1159.057</v>
      </c>
      <c r="C26" s="53">
        <v>46136</v>
      </c>
      <c r="D26" s="80">
        <v>1311.712</v>
      </c>
      <c r="E26" s="81">
        <f t="shared" si="0"/>
        <v>152.65499999999997</v>
      </c>
      <c r="F26" s="82">
        <f t="shared" si="1"/>
        <v>0.13170620599332042</v>
      </c>
      <c r="G26" s="53">
        <v>45771</v>
      </c>
      <c r="H26" s="80">
        <v>7569.8469999999998</v>
      </c>
      <c r="I26" s="53">
        <v>46136</v>
      </c>
      <c r="J26" s="80">
        <v>7592.26</v>
      </c>
      <c r="K26" s="81">
        <f t="shared" si="2"/>
        <v>22.413000000000466</v>
      </c>
      <c r="L26" s="82">
        <f t="shared" si="3"/>
        <v>2.9608260246211668E-3</v>
      </c>
      <c r="M26" s="53">
        <v>45771</v>
      </c>
      <c r="N26" s="80"/>
      <c r="O26" s="53">
        <v>46136</v>
      </c>
      <c r="P26" s="80">
        <v>132.90899999999999</v>
      </c>
      <c r="Q26" s="81">
        <f t="shared" si="4"/>
        <v>132.90899999999999</v>
      </c>
      <c r="R26" s="82" t="str">
        <f t="shared" si="5"/>
        <v/>
      </c>
    </row>
    <row r="27" spans="1:18">
      <c r="A27" s="53">
        <v>45772</v>
      </c>
      <c r="B27" s="102">
        <v>910.45</v>
      </c>
      <c r="C27" s="101">
        <v>46137</v>
      </c>
      <c r="D27" s="102">
        <v>1314.425</v>
      </c>
      <c r="E27" s="107">
        <f t="shared" si="0"/>
        <v>403.97499999999991</v>
      </c>
      <c r="F27" s="108">
        <f t="shared" si="1"/>
        <v>0.44370915481355361</v>
      </c>
      <c r="G27" s="101">
        <v>45772</v>
      </c>
      <c r="H27" s="102">
        <v>6905.6030000000001</v>
      </c>
      <c r="I27" s="101">
        <v>46137</v>
      </c>
      <c r="J27" s="102">
        <v>6553.7150000000001</v>
      </c>
      <c r="K27" s="107">
        <f t="shared" si="2"/>
        <v>-351.88799999999992</v>
      </c>
      <c r="L27" s="108">
        <f t="shared" si="3"/>
        <v>-5.0956882404042038E-2</v>
      </c>
      <c r="M27" s="101">
        <v>45772</v>
      </c>
      <c r="N27" s="102"/>
      <c r="O27" s="101">
        <v>46137</v>
      </c>
      <c r="P27" s="102">
        <v>175.25200000000001</v>
      </c>
      <c r="Q27" s="107">
        <f t="shared" si="4"/>
        <v>175.25200000000001</v>
      </c>
      <c r="R27" s="108" t="str">
        <f t="shared" si="5"/>
        <v/>
      </c>
    </row>
    <row r="28" spans="1:18">
      <c r="A28" s="53">
        <v>45773</v>
      </c>
      <c r="B28" s="80">
        <v>1085.3630000000001</v>
      </c>
      <c r="C28" s="53">
        <v>46138</v>
      </c>
      <c r="D28" s="80">
        <v>1110.8230000000001</v>
      </c>
      <c r="E28" s="81">
        <f t="shared" si="0"/>
        <v>25.460000000000036</v>
      </c>
      <c r="F28" s="82">
        <f t="shared" si="1"/>
        <v>2.3457589764898965E-2</v>
      </c>
      <c r="G28" s="53">
        <v>45773</v>
      </c>
      <c r="H28" s="80">
        <v>7735.6189999999997</v>
      </c>
      <c r="I28" s="53">
        <v>46138</v>
      </c>
      <c r="J28" s="80">
        <v>4243.8159999999998</v>
      </c>
      <c r="K28" s="81">
        <f t="shared" si="2"/>
        <v>-3491.8029999999999</v>
      </c>
      <c r="L28" s="82">
        <f t="shared" si="3"/>
        <v>-0.45139283617768661</v>
      </c>
      <c r="M28" s="53">
        <v>45773</v>
      </c>
      <c r="N28" s="80"/>
      <c r="O28" s="53">
        <v>46138</v>
      </c>
      <c r="P28" s="80">
        <v>28.486000000000001</v>
      </c>
      <c r="Q28" s="81">
        <f t="shared" si="4"/>
        <v>28.486000000000001</v>
      </c>
      <c r="R28" s="82" t="str">
        <f t="shared" si="5"/>
        <v/>
      </c>
    </row>
    <row r="29" spans="1:18">
      <c r="A29" s="53">
        <v>45774</v>
      </c>
      <c r="B29" s="102">
        <v>837.25400000000002</v>
      </c>
      <c r="C29" s="101">
        <v>46139</v>
      </c>
      <c r="D29" s="102">
        <v>1076.328</v>
      </c>
      <c r="E29" s="107">
        <f t="shared" si="0"/>
        <v>239.07399999999996</v>
      </c>
      <c r="F29" s="108">
        <f t="shared" si="1"/>
        <v>0.28554536616128434</v>
      </c>
      <c r="G29" s="101">
        <v>45774</v>
      </c>
      <c r="H29" s="102">
        <v>4284.6329999999998</v>
      </c>
      <c r="I29" s="101">
        <v>46139</v>
      </c>
      <c r="J29" s="102">
        <v>9139.7219999999998</v>
      </c>
      <c r="K29" s="107">
        <f t="shared" si="2"/>
        <v>4855.0889999999999</v>
      </c>
      <c r="L29" s="108">
        <f t="shared" si="3"/>
        <v>1.1331399912197848</v>
      </c>
      <c r="M29" s="101">
        <v>45774</v>
      </c>
      <c r="N29" s="102"/>
      <c r="O29" s="101">
        <v>46139</v>
      </c>
      <c r="P29" s="102">
        <v>251.80500000000001</v>
      </c>
      <c r="Q29" s="107">
        <f t="shared" si="4"/>
        <v>251.80500000000001</v>
      </c>
      <c r="R29" s="108" t="str">
        <f t="shared" si="5"/>
        <v/>
      </c>
    </row>
    <row r="30" spans="1:18">
      <c r="A30" s="53">
        <v>45775</v>
      </c>
      <c r="B30" s="80">
        <v>1066.808</v>
      </c>
      <c r="C30" s="53">
        <v>46140</v>
      </c>
      <c r="D30" s="80">
        <v>865.66800000000001</v>
      </c>
      <c r="E30" s="81">
        <f t="shared" si="0"/>
        <v>-201.14</v>
      </c>
      <c r="F30" s="82">
        <f t="shared" si="1"/>
        <v>-0.18854376795074651</v>
      </c>
      <c r="G30" s="53">
        <v>45775</v>
      </c>
      <c r="H30" s="80">
        <v>6075.54</v>
      </c>
      <c r="I30" s="53">
        <v>46140</v>
      </c>
      <c r="J30" s="80">
        <v>9531.5429999999997</v>
      </c>
      <c r="K30" s="81">
        <f t="shared" si="2"/>
        <v>3456.0029999999997</v>
      </c>
      <c r="L30" s="82">
        <f t="shared" si="3"/>
        <v>0.56883881926544799</v>
      </c>
      <c r="M30" s="53">
        <v>45775</v>
      </c>
      <c r="N30" s="80"/>
      <c r="O30" s="53">
        <v>46140</v>
      </c>
      <c r="P30" s="80">
        <v>302.87799999999999</v>
      </c>
      <c r="Q30" s="81">
        <f t="shared" si="4"/>
        <v>302.87799999999999</v>
      </c>
      <c r="R30" s="82" t="str">
        <f t="shared" si="5"/>
        <v/>
      </c>
    </row>
    <row r="31" spans="1:18">
      <c r="A31" s="53">
        <v>45776</v>
      </c>
      <c r="B31" s="102">
        <v>1027.21</v>
      </c>
      <c r="C31" s="101">
        <v>46141</v>
      </c>
      <c r="D31" s="102">
        <v>1399.116</v>
      </c>
      <c r="E31" s="107">
        <f t="shared" si="0"/>
        <v>371.90599999999995</v>
      </c>
      <c r="F31" s="108">
        <f t="shared" si="1"/>
        <v>0.36205449713301069</v>
      </c>
      <c r="G31" s="101">
        <v>45776</v>
      </c>
      <c r="H31" s="102">
        <v>7134.8940000000002</v>
      </c>
      <c r="I31" s="101">
        <v>46141</v>
      </c>
      <c r="J31" s="102">
        <v>8802.1370000000006</v>
      </c>
      <c r="K31" s="107">
        <f t="shared" si="2"/>
        <v>1667.2430000000004</v>
      </c>
      <c r="L31" s="108">
        <f t="shared" si="3"/>
        <v>0.23367452971270497</v>
      </c>
      <c r="M31" s="101">
        <v>45776</v>
      </c>
      <c r="N31" s="102"/>
      <c r="O31" s="101">
        <v>46141</v>
      </c>
      <c r="P31" s="102">
        <v>231.43299999999999</v>
      </c>
      <c r="Q31" s="107">
        <f t="shared" si="4"/>
        <v>231.43299999999999</v>
      </c>
      <c r="R31" s="108" t="str">
        <f t="shared" si="5"/>
        <v/>
      </c>
    </row>
    <row r="32" spans="1:18">
      <c r="A32" s="53">
        <v>45777</v>
      </c>
      <c r="B32" s="80">
        <v>1299.3109999999999</v>
      </c>
      <c r="C32" s="53">
        <v>46142</v>
      </c>
      <c r="D32" s="80">
        <v>1177.921</v>
      </c>
      <c r="E32" s="81">
        <f t="shared" si="0"/>
        <v>-121.38999999999987</v>
      </c>
      <c r="F32" s="82">
        <f t="shared" si="1"/>
        <v>-9.3426439089640489E-2</v>
      </c>
      <c r="G32" s="53">
        <v>45777</v>
      </c>
      <c r="H32" s="80">
        <v>8181.9610000000002</v>
      </c>
      <c r="I32" s="53">
        <v>46142</v>
      </c>
      <c r="J32" s="80">
        <v>8686.4599999999991</v>
      </c>
      <c r="K32" s="81">
        <f t="shared" si="2"/>
        <v>504.49899999999889</v>
      </c>
      <c r="L32" s="82">
        <f t="shared" si="3"/>
        <v>6.1659912580859143E-2</v>
      </c>
      <c r="M32" s="53">
        <v>45777</v>
      </c>
      <c r="N32" s="80"/>
      <c r="O32" s="53">
        <v>46142</v>
      </c>
      <c r="P32" s="80">
        <v>215.92500000000001</v>
      </c>
      <c r="Q32" s="81">
        <f t="shared" si="4"/>
        <v>215.92500000000001</v>
      </c>
      <c r="R32" s="82" t="str">
        <f t="shared" si="5"/>
        <v/>
      </c>
    </row>
    <row r="33" spans="1:18">
      <c r="A33" s="87" t="s">
        <v>61</v>
      </c>
      <c r="B33" s="88">
        <f>SUM(B3:B32)</f>
        <v>37719.516999999993</v>
      </c>
      <c r="C33" s="87"/>
      <c r="D33" s="88">
        <f>SUM(D3:D32)</f>
        <v>37539.967000000011</v>
      </c>
      <c r="E33" s="89">
        <f>SUM(E3:E32)</f>
        <v>-179.54999999999905</v>
      </c>
      <c r="F33" s="90">
        <f>(D33-B33)/B33</f>
        <v>-4.7601351841271219E-3</v>
      </c>
      <c r="G33" s="83"/>
      <c r="H33" s="84">
        <f>SUM(H3:H32)</f>
        <v>182497.66200000004</v>
      </c>
      <c r="I33" s="83"/>
      <c r="J33" s="84">
        <f>SUM(J3:J32)</f>
        <v>213612.18699999998</v>
      </c>
      <c r="K33" s="85">
        <f>SUM(K3:K32)</f>
        <v>31114.524999999998</v>
      </c>
      <c r="L33" s="86">
        <f>(J33-H33)/H33</f>
        <v>0.17049273212058974</v>
      </c>
      <c r="M33" s="91"/>
      <c r="N33" s="92">
        <f>SUM(N3:N18)</f>
        <v>0</v>
      </c>
      <c r="O33" s="91"/>
      <c r="P33" s="92">
        <f>SUM(P3:P32)</f>
        <v>6023.0729999999994</v>
      </c>
      <c r="Q33" s="93">
        <f>SUM(Q3:Q32)</f>
        <v>6023.0729999999994</v>
      </c>
      <c r="R33" s="94" t="e">
        <f>(P33-N33)/N33</f>
        <v>#DIV/0!</v>
      </c>
    </row>
    <row r="34" spans="1:18">
      <c r="B34" s="69"/>
      <c r="D34" s="69"/>
      <c r="E34" s="72"/>
      <c r="H34" s="69"/>
      <c r="J34" s="69"/>
      <c r="K34" s="72"/>
      <c r="N34" s="69"/>
      <c r="P34" s="69"/>
      <c r="Q34" s="72"/>
    </row>
  </sheetData>
  <mergeCells count="1">
    <mergeCell ref="A1:R1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INV TANQUES</vt:lpstr>
      <vt:lpstr>INV UREA</vt:lpstr>
      <vt:lpstr>ISOTANQUE</vt:lpstr>
      <vt:lpstr>SEG DELTA</vt:lpstr>
      <vt:lpstr>VENTAS X MES</vt:lpstr>
      <vt:lpstr>ESTADISTICAS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EXPORTADO_DATOS_1063_2025-11-13T12-34-06_640</dc:title>
  <dc:subject>Spreadsheet export</dc:subject>
  <dc:creator>Maatwebsite</dc:creator>
  <cp:keywords>maatwebsite, excel, export</cp:keywords>
  <dc:description>Default spreadsheet export</dc:description>
  <cp:lastModifiedBy>USER</cp:lastModifiedBy>
  <dcterms:created xsi:type="dcterms:W3CDTF">2025-11-13T07:34:06Z</dcterms:created>
  <dcterms:modified xsi:type="dcterms:W3CDTF">2026-05-03T04:08:28Z</dcterms:modified>
  <cp:category>Excel</cp:category>
</cp:coreProperties>
</file>